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_Data" sheetId="2" state="visible" r:id="rId4"/>
    <sheet name="PL_Monthly" sheetId="3" state="visible" r:id="rId5"/>
    <sheet name="Region_Summary" sheetId="4" state="visible" r:id="rId6"/>
    <sheet name="Forecast" sheetId="5" state="visible" r:id="rId7"/>
    <sheet name="Forecast_Backtest" sheetId="6" state="visible" r:id="rId8"/>
    <sheet name="Scenario_Slicer" sheetId="7" state="visible" r:id="rId9"/>
    <sheet name="Dim_Account" sheetId="8" state="visible" r:id="rId10"/>
  </sheets>
  <definedNames>
    <definedName function="false" hidden="true" localSheetId="1" name="_xlnm._FilterDatabase" vbProcedure="false">Monthly_Data!$A$1:$I$433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<sst xmlns="http://schemas.openxmlformats.org/spreadsheetml/2006/main" count="1062" uniqueCount="101">
  <si>
    <t xml:space="preserve">Finance Performance Model: Data Book</t>
  </si>
  <si>
    <t xml:space="preserve">Exported from the Power BI model 'finance project'. Amounts are in the model's reporting currency.</t>
  </si>
  <si>
    <t xml:space="preserve">Sheet</t>
  </si>
  <si>
    <t xml:space="preserve">Contents</t>
  </si>
  <si>
    <t xml:space="preserve">Monthly_Data</t>
  </si>
  <si>
    <t xml:space="preserve">Month x account detail, actual and budget (432 rows), with favourable-positive variance formulas</t>
  </si>
  <si>
    <t xml:space="preserve">PL_Monthly</t>
  </si>
  <si>
    <t xml:space="preserve">Monthly P&amp;L built with SUMIFS from Monthly_Data, actual vs budget, through the last actual month</t>
  </si>
  <si>
    <t xml:space="preserve">Region_Summary</t>
  </si>
  <si>
    <t xml:space="preserve">Actual and budget by region and account group, through the last actual month</t>
  </si>
  <si>
    <t xml:space="preserve">Forecast</t>
  </si>
  <si>
    <t xml:space="preserve">Oct-Dec 2026 forecast with lower and upper bounds, as stored in the model</t>
  </si>
  <si>
    <t xml:space="preserve">Forecast_Backtest</t>
  </si>
  <si>
    <t xml:space="preserve">Forecast methods ranked by MAPE (lower is better)</t>
  </si>
  <si>
    <t xml:space="preserve">Scenario_Slicer</t>
  </si>
  <si>
    <t xml:space="preserve">Revenue adjustment values used by the what-if slicer</t>
  </si>
  <si>
    <t xml:space="preserve">Dim_Account</t>
  </si>
  <si>
    <t xml:space="preserve">Account list, group and P&amp;L order</t>
  </si>
  <si>
    <t xml:space="preserve">Conventions</t>
  </si>
  <si>
    <t xml:space="preserve">Blue text = values exported from the model. Black = formulas.</t>
  </si>
  <si>
    <t xml:space="preserve">Last actual month</t>
  </si>
  <si>
    <t xml:space="preserve">Sep 2026. Oct-Dec 2026 have budget only.</t>
  </si>
  <si>
    <t xml:space="preserve">Variance sign</t>
  </si>
  <si>
    <t xml:space="preserve">Favourable is positive: revenue = actual - budget; costs = budget - actual.</t>
  </si>
  <si>
    <t xml:space="preserve">Net profit</t>
  </si>
  <si>
    <t xml:space="preserve">EBITDA - D&amp;A - interest - tax, matching the model's [Net Profit] measure.</t>
  </si>
  <si>
    <t xml:space="preserve">Grain note</t>
  </si>
  <si>
    <t xml:space="preserve">Monthly_Data is summed across regions. Region detail is on Region_Summary.</t>
  </si>
  <si>
    <t xml:space="preserve">Month</t>
  </si>
  <si>
    <t xml:space="preserve">Year</t>
  </si>
  <si>
    <t xml:space="preserve">Month No</t>
  </si>
  <si>
    <t xml:space="preserve">Account</t>
  </si>
  <si>
    <t xml:space="preserve">Account Group</t>
  </si>
  <si>
    <t xml:space="preserve">Actual</t>
  </si>
  <si>
    <t xml:space="preserve">Budget</t>
  </si>
  <si>
    <t xml:space="preserve">Variance (Fav +)</t>
  </si>
  <si>
    <t xml:space="preserve">Variance %</t>
  </si>
  <si>
    <t xml:space="preserve">Product Revenue</t>
  </si>
  <si>
    <t xml:space="preserve">Revenue</t>
  </si>
  <si>
    <t xml:space="preserve">Service Revenue</t>
  </si>
  <si>
    <t xml:space="preserve">Cost of Goods Sold</t>
  </si>
  <si>
    <t xml:space="preserve">COGS</t>
  </si>
  <si>
    <t xml:space="preserve">Direct Labor</t>
  </si>
  <si>
    <t xml:space="preserve">Salaries &amp; Wages</t>
  </si>
  <si>
    <t xml:space="preserve">Operating Expenses</t>
  </si>
  <si>
    <t xml:space="preserve">Marketing &amp; Advertising</t>
  </si>
  <si>
    <t xml:space="preserve">Rent &amp; Utilities</t>
  </si>
  <si>
    <t xml:space="preserve">Software &amp; IT</t>
  </si>
  <si>
    <t xml:space="preserve">Travel &amp; Entertainment</t>
  </si>
  <si>
    <t xml:space="preserve">Depreciation &amp; Amortization</t>
  </si>
  <si>
    <t xml:space="preserve">D&amp;A</t>
  </si>
  <si>
    <t xml:space="preserve">Interest Expense</t>
  </si>
  <si>
    <t xml:space="preserve">Interest</t>
  </si>
  <si>
    <t xml:space="preserve">Income Tax</t>
  </si>
  <si>
    <t xml:space="preserve">Tax</t>
  </si>
  <si>
    <t xml:space="preserve">Monthly P&amp;L: Actual vs Budget</t>
  </si>
  <si>
    <t xml:space="preserve">Built from Monthly_Data with SUMIFS. Covers Jan 2024 to Sep 2026 (months with actuals).</t>
  </si>
  <si>
    <t xml:space="preserve">Gross Profit</t>
  </si>
  <si>
    <t xml:space="preserve">Gross Margin %</t>
  </si>
  <si>
    <t xml:space="preserve">EBITDA</t>
  </si>
  <si>
    <t xml:space="preserve">EBITDA Margin %</t>
  </si>
  <si>
    <t xml:space="preserve">EBIT</t>
  </si>
  <si>
    <t xml:space="preserve">Net Profit</t>
  </si>
  <si>
    <t xml:space="preserve">Net Margin %</t>
  </si>
  <si>
    <t xml:space="preserve">Budget Revenue</t>
  </si>
  <si>
    <t xml:space="preserve">Budget Net Profit</t>
  </si>
  <si>
    <t xml:space="preserve">Revenue Var %</t>
  </si>
  <si>
    <t xml:space="preserve">Net Profit Var %</t>
  </si>
  <si>
    <t xml:space="preserve">Total</t>
  </si>
  <si>
    <t xml:space="preserve">Region Summary: Actual vs Budget</t>
  </si>
  <si>
    <t xml:space="preserve">Through the last actual month (Sep 2026). Variance is favourable-positive.</t>
  </si>
  <si>
    <t xml:space="preserve">Region</t>
  </si>
  <si>
    <t xml:space="preserve">East</t>
  </si>
  <si>
    <t xml:space="preserve">North</t>
  </si>
  <si>
    <t xml:space="preserve">South</t>
  </si>
  <si>
    <t xml:space="preserve">West</t>
  </si>
  <si>
    <t xml:space="preserve">Forecast Data</t>
  </si>
  <si>
    <t xml:space="preserve">Stored in the model's ForecastData table.</t>
  </si>
  <si>
    <t xml:space="preserve">Metric</t>
  </si>
  <si>
    <t xml:space="preserve">Method</t>
  </si>
  <si>
    <t xml:space="preserve">Lower</t>
  </si>
  <si>
    <t xml:space="preserve">Upper</t>
  </si>
  <si>
    <t xml:space="preserve">Holt-Winters (damped)</t>
  </si>
  <si>
    <t xml:space="preserve">Seasonal naive + growth</t>
  </si>
  <si>
    <t xml:space="preserve">Q4 2026 total</t>
  </si>
  <si>
    <t xml:space="preserve">Forecast Backtest</t>
  </si>
  <si>
    <t xml:space="preserve">MAPE = mean absolute percentage error. Lower is better. 'Selected' is the method used in the model.</t>
  </si>
  <si>
    <t xml:space="preserve">MAPE %</t>
  </si>
  <si>
    <t xml:space="preserve">Rank</t>
  </si>
  <si>
    <t xml:space="preserve">Status</t>
  </si>
  <si>
    <t xml:space="preserve">Selected</t>
  </si>
  <si>
    <t xml:space="preserve">Regression + seasonality</t>
  </si>
  <si>
    <t xml:space="preserve">Budget x trailing ratio</t>
  </si>
  <si>
    <t xml:space="preserve">ARIMA(1,1,1)</t>
  </si>
  <si>
    <t xml:space="preserve">Scenario Slicer Values</t>
  </si>
  <si>
    <t xml:space="preserve">Revenue adjustment applied to the Q4 forecast in the model's what-if measures.</t>
  </si>
  <si>
    <t xml:space="preserve">Revenue Adjustment</t>
  </si>
  <si>
    <t xml:space="preserve">Account Dimension</t>
  </si>
  <si>
    <t xml:space="preserve">P&amp;L order follows the model's PLOrder column.</t>
  </si>
  <si>
    <t xml:space="preserve">P&amp;L Order</t>
  </si>
  <si>
    <t xml:space="preserve">Account Name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</si>
</sst>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yyyy"/>
    <numFmt numFmtId="166" formatCode="#,##0;\(#,##0\);\-"/>
    <numFmt numFmtId="167" formatCode="0.0%;\(0.0%\);\-"/>
    <numFmt numFmtId="168" formatCode="0.00"/>
    <numFmt numFmtId="169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E6E"/>
        <bgColor rgb="FF008080"/>
      </patternFill>
    </fill>
    <fill>
      <patternFill patternType="solid">
        <fgColor rgb="FFE6EF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6E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6E"/>
      <rgbColor rgb="FFC0C0C0"/>
      <rgbColor rgb="FF808080"/>
      <rgbColor rgb="FF9999FF"/>
      <rgbColor rgb="FF993366"/>
      <rgbColor rgb="FFFFFFCC"/>
      <rgbColor rgb="FFE6E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/>
      <c r="B12" s="4"/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30" hidden="false" customHeight="tru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</row>
    <row r="2" customFormat="false" ht="15" hidden="false" customHeight="false" outlineLevel="0" collapsed="false">
      <c r="A2" s="6" t="n">
        <v>45292</v>
      </c>
      <c r="B2" s="4" t="n">
        <f aca="false">YEAR(A2)</f>
        <v>2024</v>
      </c>
      <c r="C2" s="4" t="n">
        <f aca="false">MONTH(A2)</f>
        <v>1</v>
      </c>
      <c r="D2" s="4" t="s">
        <v>37</v>
      </c>
      <c r="E2" s="4" t="s">
        <v>38</v>
      </c>
      <c r="F2" s="7" t="n">
        <v>10751289</v>
      </c>
      <c r="G2" s="7" t="n">
        <v>10752924</v>
      </c>
      <c r="H2" s="8" t="n">
        <f aca="false">IF(F2="","",IF(E2="Revenue",F2-G2,G2-F2))</f>
        <v>-1635</v>
      </c>
      <c r="I2" s="9" t="n">
        <f aca="false">IF(OR(F2="",G2=0),"",H2/G2)</f>
        <v>-0.000152051665202879</v>
      </c>
    </row>
    <row r="3" customFormat="false" ht="15" hidden="false" customHeight="false" outlineLevel="0" collapsed="false">
      <c r="A3" s="6" t="n">
        <v>45292</v>
      </c>
      <c r="B3" s="4" t="n">
        <f aca="false">YEAR(A3)</f>
        <v>2024</v>
      </c>
      <c r="C3" s="4" t="n">
        <f aca="false">MONTH(A3)</f>
        <v>1</v>
      </c>
      <c r="D3" s="4" t="s">
        <v>39</v>
      </c>
      <c r="E3" s="4" t="s">
        <v>38</v>
      </c>
      <c r="F3" s="7" t="n">
        <v>3618704</v>
      </c>
      <c r="G3" s="7" t="n">
        <v>3584307</v>
      </c>
      <c r="H3" s="8" t="n">
        <f aca="false">IF(F3="","",IF(E3="Revenue",F3-G3,G3-F3))</f>
        <v>34397</v>
      </c>
      <c r="I3" s="9" t="n">
        <f aca="false">IF(OR(F3="",G3=0),"",H3/G3)</f>
        <v>0.00959655520579013</v>
      </c>
    </row>
    <row r="4" customFormat="false" ht="15" hidden="false" customHeight="false" outlineLevel="0" collapsed="false">
      <c r="A4" s="6" t="n">
        <v>45292</v>
      </c>
      <c r="B4" s="4" t="n">
        <f aca="false">YEAR(A4)</f>
        <v>2024</v>
      </c>
      <c r="C4" s="4" t="n">
        <f aca="false">MONTH(A4)</f>
        <v>1</v>
      </c>
      <c r="D4" s="4" t="s">
        <v>40</v>
      </c>
      <c r="E4" s="4" t="s">
        <v>41</v>
      </c>
      <c r="F4" s="7" t="n">
        <v>5665929</v>
      </c>
      <c r="G4" s="7" t="n">
        <v>5555677</v>
      </c>
      <c r="H4" s="8" t="n">
        <f aca="false">IF(F4="","",IF(E4="Revenue",F4-G4,G4-F4))</f>
        <v>-110252</v>
      </c>
      <c r="I4" s="9" t="n">
        <f aca="false">IF(OR(F4="",G4=0),"",H4/G4)</f>
        <v>-0.0198449261899135</v>
      </c>
    </row>
    <row r="5" customFormat="false" ht="15" hidden="false" customHeight="false" outlineLevel="0" collapsed="false">
      <c r="A5" s="6" t="n">
        <v>45292</v>
      </c>
      <c r="B5" s="4" t="n">
        <f aca="false">YEAR(A5)</f>
        <v>2024</v>
      </c>
      <c r="C5" s="4" t="n">
        <f aca="false">MONTH(A5)</f>
        <v>1</v>
      </c>
      <c r="D5" s="4" t="s">
        <v>42</v>
      </c>
      <c r="E5" s="4" t="s">
        <v>41</v>
      </c>
      <c r="F5" s="7" t="n">
        <v>1559905</v>
      </c>
      <c r="G5" s="7" t="n">
        <v>1500000</v>
      </c>
      <c r="H5" s="8" t="n">
        <f aca="false">IF(F5="","",IF(E5="Revenue",F5-G5,G5-F5))</f>
        <v>-59905</v>
      </c>
      <c r="I5" s="9" t="n">
        <f aca="false">IF(OR(F5="",G5=0),"",H5/G5)</f>
        <v>-0.0399366666666667</v>
      </c>
    </row>
    <row r="6" customFormat="false" ht="15" hidden="false" customHeight="false" outlineLevel="0" collapsed="false">
      <c r="A6" s="6" t="n">
        <v>45292</v>
      </c>
      <c r="B6" s="4" t="n">
        <f aca="false">YEAR(A6)</f>
        <v>2024</v>
      </c>
      <c r="C6" s="4" t="n">
        <f aca="false">MONTH(A6)</f>
        <v>1</v>
      </c>
      <c r="D6" s="4" t="s">
        <v>43</v>
      </c>
      <c r="E6" s="4" t="s">
        <v>44</v>
      </c>
      <c r="F6" s="7" t="n">
        <v>3570429</v>
      </c>
      <c r="G6" s="7" t="n">
        <v>3500000</v>
      </c>
      <c r="H6" s="8" t="n">
        <f aca="false">IF(F6="","",IF(E6="Revenue",F6-G6,G6-F6))</f>
        <v>-70429</v>
      </c>
      <c r="I6" s="9" t="n">
        <f aca="false">IF(OR(F6="",G6=0),"",H6/G6)</f>
        <v>-0.0201225714285714</v>
      </c>
    </row>
    <row r="7" customFormat="false" ht="15" hidden="false" customHeight="false" outlineLevel="0" collapsed="false">
      <c r="A7" s="6" t="n">
        <v>45292</v>
      </c>
      <c r="B7" s="4" t="n">
        <f aca="false">YEAR(A7)</f>
        <v>2024</v>
      </c>
      <c r="C7" s="4" t="n">
        <f aca="false">MONTH(A7)</f>
        <v>1</v>
      </c>
      <c r="D7" s="4" t="s">
        <v>45</v>
      </c>
      <c r="E7" s="4" t="s">
        <v>44</v>
      </c>
      <c r="F7" s="7" t="n">
        <v>1239301</v>
      </c>
      <c r="G7" s="7" t="n">
        <v>1200000</v>
      </c>
      <c r="H7" s="8" t="n">
        <f aca="false">IF(F7="","",IF(E7="Revenue",F7-G7,G7-F7))</f>
        <v>-39301</v>
      </c>
      <c r="I7" s="9" t="n">
        <f aca="false">IF(OR(F7="",G7=0),"",H7/G7)</f>
        <v>-0.0327508333333333</v>
      </c>
    </row>
    <row r="8" customFormat="false" ht="15" hidden="false" customHeight="false" outlineLevel="0" collapsed="false">
      <c r="A8" s="6" t="n">
        <v>45292</v>
      </c>
      <c r="B8" s="4" t="n">
        <f aca="false">YEAR(A8)</f>
        <v>2024</v>
      </c>
      <c r="C8" s="4" t="n">
        <f aca="false">MONTH(A8)</f>
        <v>1</v>
      </c>
      <c r="D8" s="4" t="s">
        <v>46</v>
      </c>
      <c r="E8" s="4" t="s">
        <v>44</v>
      </c>
      <c r="F8" s="7" t="n">
        <v>600000</v>
      </c>
      <c r="G8" s="7" t="n">
        <v>600000</v>
      </c>
      <c r="H8" s="8" t="n">
        <f aca="false">IF(F8="","",IF(E8="Revenue",F8-G8,G8-F8))</f>
        <v>0</v>
      </c>
      <c r="I8" s="9" t="n">
        <f aca="false">IF(OR(F8="",G8=0),"",H8/G8)</f>
        <v>0</v>
      </c>
    </row>
    <row r="9" customFormat="false" ht="15" hidden="false" customHeight="false" outlineLevel="0" collapsed="false">
      <c r="A9" s="6" t="n">
        <v>45292</v>
      </c>
      <c r="B9" s="4" t="n">
        <f aca="false">YEAR(A9)</f>
        <v>2024</v>
      </c>
      <c r="C9" s="4" t="n">
        <f aca="false">MONTH(A9)</f>
        <v>1</v>
      </c>
      <c r="D9" s="4" t="s">
        <v>47</v>
      </c>
      <c r="E9" s="4" t="s">
        <v>44</v>
      </c>
      <c r="F9" s="7" t="n">
        <v>459110</v>
      </c>
      <c r="G9" s="7" t="n">
        <v>450000</v>
      </c>
      <c r="H9" s="8" t="n">
        <f aca="false">IF(F9="","",IF(E9="Revenue",F9-G9,G9-F9))</f>
        <v>-9110</v>
      </c>
      <c r="I9" s="9" t="n">
        <f aca="false">IF(OR(F9="",G9=0),"",H9/G9)</f>
        <v>-0.0202444444444444</v>
      </c>
    </row>
    <row r="10" customFormat="false" ht="15" hidden="false" customHeight="false" outlineLevel="0" collapsed="false">
      <c r="A10" s="6" t="n">
        <v>45292</v>
      </c>
      <c r="B10" s="4" t="n">
        <f aca="false">YEAR(A10)</f>
        <v>2024</v>
      </c>
      <c r="C10" s="4" t="n">
        <f aca="false">MONTH(A10)</f>
        <v>1</v>
      </c>
      <c r="D10" s="4" t="s">
        <v>48</v>
      </c>
      <c r="E10" s="4" t="s">
        <v>44</v>
      </c>
      <c r="F10" s="7" t="n">
        <v>264941</v>
      </c>
      <c r="G10" s="7" t="n">
        <v>300000</v>
      </c>
      <c r="H10" s="8" t="n">
        <f aca="false">IF(F10="","",IF(E10="Revenue",F10-G10,G10-F10))</f>
        <v>35059</v>
      </c>
      <c r="I10" s="9" t="n">
        <f aca="false">IF(OR(F10="",G10=0),"",H10/G10)</f>
        <v>0.116863333333333</v>
      </c>
    </row>
    <row r="11" customFormat="false" ht="15" hidden="false" customHeight="false" outlineLevel="0" collapsed="false">
      <c r="A11" s="6" t="n">
        <v>45292</v>
      </c>
      <c r="B11" s="4" t="n">
        <f aca="false">YEAR(A11)</f>
        <v>2024</v>
      </c>
      <c r="C11" s="4" t="n">
        <f aca="false">MONTH(A11)</f>
        <v>1</v>
      </c>
      <c r="D11" s="4" t="s">
        <v>49</v>
      </c>
      <c r="E11" s="4" t="s">
        <v>50</v>
      </c>
      <c r="F11" s="7" t="n">
        <v>400000</v>
      </c>
      <c r="G11" s="7" t="n">
        <v>400000</v>
      </c>
      <c r="H11" s="8" t="n">
        <f aca="false">IF(F11="","",IF(E11="Revenue",F11-G11,G11-F11))</f>
        <v>0</v>
      </c>
      <c r="I11" s="9" t="n">
        <f aca="false">IF(OR(F11="",G11=0),"",H11/G11)</f>
        <v>0</v>
      </c>
    </row>
    <row r="12" customFormat="false" ht="15" hidden="false" customHeight="false" outlineLevel="0" collapsed="false">
      <c r="A12" s="6" t="n">
        <v>45292</v>
      </c>
      <c r="B12" s="4" t="n">
        <f aca="false">YEAR(A12)</f>
        <v>2024</v>
      </c>
      <c r="C12" s="4" t="n">
        <f aca="false">MONTH(A12)</f>
        <v>1</v>
      </c>
      <c r="D12" s="4" t="s">
        <v>51</v>
      </c>
      <c r="E12" s="4" t="s">
        <v>52</v>
      </c>
      <c r="F12" s="7" t="n">
        <v>257500</v>
      </c>
      <c r="G12" s="7" t="n">
        <v>250000</v>
      </c>
      <c r="H12" s="8" t="n">
        <f aca="false">IF(F12="","",IF(E12="Revenue",F12-G12,G12-F12))</f>
        <v>-7500</v>
      </c>
      <c r="I12" s="9" t="n">
        <f aca="false">IF(OR(F12="",G12=0),"",H12/G12)</f>
        <v>-0.03</v>
      </c>
    </row>
    <row r="13" customFormat="false" ht="15" hidden="false" customHeight="false" outlineLevel="0" collapsed="false">
      <c r="A13" s="6" t="n">
        <v>45292</v>
      </c>
      <c r="B13" s="4" t="n">
        <f aca="false">YEAR(A13)</f>
        <v>2024</v>
      </c>
      <c r="C13" s="4" t="n">
        <f aca="false">MONTH(A13)</f>
        <v>1</v>
      </c>
      <c r="D13" s="4" t="s">
        <v>53</v>
      </c>
      <c r="E13" s="4" t="s">
        <v>54</v>
      </c>
      <c r="F13" s="7" t="n">
        <v>94587</v>
      </c>
      <c r="G13" s="7" t="n">
        <v>145389</v>
      </c>
      <c r="H13" s="8" t="n">
        <f aca="false">IF(F13="","",IF(E13="Revenue",F13-G13,G13-F13))</f>
        <v>50802</v>
      </c>
      <c r="I13" s="9" t="n">
        <f aca="false">IF(OR(F13="",G13=0),"",H13/G13)</f>
        <v>0.349421207931824</v>
      </c>
    </row>
    <row r="14" customFormat="false" ht="15" hidden="false" customHeight="false" outlineLevel="0" collapsed="false">
      <c r="A14" s="6" t="n">
        <v>45323</v>
      </c>
      <c r="B14" s="4" t="n">
        <f aca="false">YEAR(A14)</f>
        <v>2024</v>
      </c>
      <c r="C14" s="4" t="n">
        <f aca="false">MONTH(A14)</f>
        <v>2</v>
      </c>
      <c r="D14" s="4" t="s">
        <v>37</v>
      </c>
      <c r="E14" s="4" t="s">
        <v>38</v>
      </c>
      <c r="F14" s="7" t="n">
        <v>11223165</v>
      </c>
      <c r="G14" s="7" t="n">
        <v>11449200</v>
      </c>
      <c r="H14" s="8" t="n">
        <f aca="false">IF(F14="","",IF(E14="Revenue",F14-G14,G14-F14))</f>
        <v>-226035</v>
      </c>
      <c r="I14" s="9" t="n">
        <f aca="false">IF(OR(F14="",G14=0),"",H14/G14)</f>
        <v>-0.0197424274185096</v>
      </c>
    </row>
    <row r="15" customFormat="false" ht="15" hidden="false" customHeight="false" outlineLevel="0" collapsed="false">
      <c r="A15" s="6" t="n">
        <v>45323</v>
      </c>
      <c r="B15" s="4" t="n">
        <f aca="false">YEAR(A15)</f>
        <v>2024</v>
      </c>
      <c r="C15" s="4" t="n">
        <f aca="false">MONTH(A15)</f>
        <v>2</v>
      </c>
      <c r="D15" s="4" t="s">
        <v>39</v>
      </c>
      <c r="E15" s="4" t="s">
        <v>38</v>
      </c>
      <c r="F15" s="7" t="n">
        <v>3872295</v>
      </c>
      <c r="G15" s="7" t="n">
        <v>3816400</v>
      </c>
      <c r="H15" s="8" t="n">
        <f aca="false">IF(F15="","",IF(E15="Revenue",F15-G15,G15-F15))</f>
        <v>55895</v>
      </c>
      <c r="I15" s="9" t="n">
        <f aca="false">IF(OR(F15="",G15=0),"",H15/G15)</f>
        <v>0.0146460014673514</v>
      </c>
    </row>
    <row r="16" customFormat="false" ht="15" hidden="false" customHeight="false" outlineLevel="0" collapsed="false">
      <c r="A16" s="6" t="n">
        <v>45323</v>
      </c>
      <c r="B16" s="4" t="n">
        <f aca="false">YEAR(A16)</f>
        <v>2024</v>
      </c>
      <c r="C16" s="4" t="n">
        <f aca="false">MONTH(A16)</f>
        <v>2</v>
      </c>
      <c r="D16" s="4" t="s">
        <v>40</v>
      </c>
      <c r="E16" s="4" t="s">
        <v>41</v>
      </c>
      <c r="F16" s="7" t="n">
        <v>5923306</v>
      </c>
      <c r="G16" s="7" t="n">
        <v>5915420</v>
      </c>
      <c r="H16" s="8" t="n">
        <f aca="false">IF(F16="","",IF(E16="Revenue",F16-G16,G16-F16))</f>
        <v>-7886</v>
      </c>
      <c r="I16" s="9" t="n">
        <f aca="false">IF(OR(F16="",G16=0),"",H16/G16)</f>
        <v>-0.00133312596569643</v>
      </c>
    </row>
    <row r="17" customFormat="false" ht="15" hidden="false" customHeight="false" outlineLevel="0" collapsed="false">
      <c r="A17" s="6" t="n">
        <v>45323</v>
      </c>
      <c r="B17" s="4" t="n">
        <f aca="false">YEAR(A17)</f>
        <v>2024</v>
      </c>
      <c r="C17" s="4" t="n">
        <f aca="false">MONTH(A17)</f>
        <v>2</v>
      </c>
      <c r="D17" s="4" t="s">
        <v>42</v>
      </c>
      <c r="E17" s="4" t="s">
        <v>41</v>
      </c>
      <c r="F17" s="7" t="n">
        <v>1563157</v>
      </c>
      <c r="G17" s="7" t="n">
        <v>1515000</v>
      </c>
      <c r="H17" s="8" t="n">
        <f aca="false">IF(F17="","",IF(E17="Revenue",F17-G17,G17-F17))</f>
        <v>-48157</v>
      </c>
      <c r="I17" s="9" t="n">
        <f aca="false">IF(OR(F17="",G17=0),"",H17/G17)</f>
        <v>-0.031786798679868</v>
      </c>
    </row>
    <row r="18" customFormat="false" ht="15" hidden="false" customHeight="false" outlineLevel="0" collapsed="false">
      <c r="A18" s="6" t="n">
        <v>45323</v>
      </c>
      <c r="B18" s="4" t="n">
        <f aca="false">YEAR(A18)</f>
        <v>2024</v>
      </c>
      <c r="C18" s="4" t="n">
        <f aca="false">MONTH(A18)</f>
        <v>2</v>
      </c>
      <c r="D18" s="4" t="s">
        <v>43</v>
      </c>
      <c r="E18" s="4" t="s">
        <v>44</v>
      </c>
      <c r="F18" s="7" t="n">
        <v>3591792</v>
      </c>
      <c r="G18" s="7" t="n">
        <v>3521000</v>
      </c>
      <c r="H18" s="8" t="n">
        <f aca="false">IF(F18="","",IF(E18="Revenue",F18-G18,G18-F18))</f>
        <v>-70792</v>
      </c>
      <c r="I18" s="9" t="n">
        <f aca="false">IF(OR(F18="",G18=0),"",H18/G18)</f>
        <v>-0.0201056518034649</v>
      </c>
    </row>
    <row r="19" customFormat="false" ht="15" hidden="false" customHeight="false" outlineLevel="0" collapsed="false">
      <c r="A19" s="6" t="n">
        <v>45323</v>
      </c>
      <c r="B19" s="4" t="n">
        <f aca="false">YEAR(A19)</f>
        <v>2024</v>
      </c>
      <c r="C19" s="4" t="n">
        <f aca="false">MONTH(A19)</f>
        <v>2</v>
      </c>
      <c r="D19" s="4" t="s">
        <v>45</v>
      </c>
      <c r="E19" s="4" t="s">
        <v>44</v>
      </c>
      <c r="F19" s="7" t="n">
        <v>1252334</v>
      </c>
      <c r="G19" s="7" t="n">
        <v>1212000</v>
      </c>
      <c r="H19" s="8" t="n">
        <f aca="false">IF(F19="","",IF(E19="Revenue",F19-G19,G19-F19))</f>
        <v>-40334</v>
      </c>
      <c r="I19" s="9" t="n">
        <f aca="false">IF(OR(F19="",G19=0),"",H19/G19)</f>
        <v>-0.0332788778877888</v>
      </c>
    </row>
    <row r="20" customFormat="false" ht="15" hidden="false" customHeight="false" outlineLevel="0" collapsed="false">
      <c r="A20" s="6" t="n">
        <v>45323</v>
      </c>
      <c r="B20" s="4" t="n">
        <f aca="false">YEAR(A20)</f>
        <v>2024</v>
      </c>
      <c r="C20" s="4" t="n">
        <f aca="false">MONTH(A20)</f>
        <v>2</v>
      </c>
      <c r="D20" s="4" t="s">
        <v>46</v>
      </c>
      <c r="E20" s="4" t="s">
        <v>44</v>
      </c>
      <c r="F20" s="7" t="n">
        <v>601200</v>
      </c>
      <c r="G20" s="7" t="n">
        <v>601200</v>
      </c>
      <c r="H20" s="8" t="n">
        <f aca="false">IF(F20="","",IF(E20="Revenue",F20-G20,G20-F20))</f>
        <v>0</v>
      </c>
      <c r="I20" s="9" t="n">
        <f aca="false">IF(OR(F20="",G20=0),"",H20/G20)</f>
        <v>0</v>
      </c>
    </row>
    <row r="21" customFormat="false" ht="15" hidden="false" customHeight="false" outlineLevel="0" collapsed="false">
      <c r="A21" s="6" t="n">
        <v>45323</v>
      </c>
      <c r="B21" s="4" t="n">
        <f aca="false">YEAR(A21)</f>
        <v>2024</v>
      </c>
      <c r="C21" s="4" t="n">
        <f aca="false">MONTH(A21)</f>
        <v>2</v>
      </c>
      <c r="D21" s="4" t="s">
        <v>47</v>
      </c>
      <c r="E21" s="4" t="s">
        <v>44</v>
      </c>
      <c r="F21" s="7" t="n">
        <v>463402</v>
      </c>
      <c r="G21" s="7" t="n">
        <v>453600</v>
      </c>
      <c r="H21" s="8" t="n">
        <f aca="false">IF(F21="","",IF(E21="Revenue",F21-G21,G21-F21))</f>
        <v>-9802</v>
      </c>
      <c r="I21" s="9" t="n">
        <f aca="false">IF(OR(F21="",G21=0),"",H21/G21)</f>
        <v>-0.0216093474426808</v>
      </c>
    </row>
    <row r="22" customFormat="false" ht="15" hidden="false" customHeight="false" outlineLevel="0" collapsed="false">
      <c r="A22" s="6" t="n">
        <v>45323</v>
      </c>
      <c r="B22" s="4" t="n">
        <f aca="false">YEAR(A22)</f>
        <v>2024</v>
      </c>
      <c r="C22" s="4" t="n">
        <f aca="false">MONTH(A22)</f>
        <v>2</v>
      </c>
      <c r="D22" s="4" t="s">
        <v>48</v>
      </c>
      <c r="E22" s="4" t="s">
        <v>44</v>
      </c>
      <c r="F22" s="7" t="n">
        <v>265416</v>
      </c>
      <c r="G22" s="7" t="n">
        <v>301500</v>
      </c>
      <c r="H22" s="8" t="n">
        <f aca="false">IF(F22="","",IF(E22="Revenue",F22-G22,G22-F22))</f>
        <v>36084</v>
      </c>
      <c r="I22" s="9" t="n">
        <f aca="false">IF(OR(F22="",G22=0),"",H22/G22)</f>
        <v>0.119681592039801</v>
      </c>
    </row>
    <row r="23" customFormat="false" ht="15" hidden="false" customHeight="false" outlineLevel="0" collapsed="false">
      <c r="A23" s="6" t="n">
        <v>45323</v>
      </c>
      <c r="B23" s="4" t="n">
        <f aca="false">YEAR(A23)</f>
        <v>2024</v>
      </c>
      <c r="C23" s="4" t="n">
        <f aca="false">MONTH(A23)</f>
        <v>2</v>
      </c>
      <c r="D23" s="4" t="s">
        <v>49</v>
      </c>
      <c r="E23" s="4" t="s">
        <v>50</v>
      </c>
      <c r="F23" s="7" t="n">
        <v>401200</v>
      </c>
      <c r="G23" s="7" t="n">
        <v>401200</v>
      </c>
      <c r="H23" s="8" t="n">
        <f aca="false">IF(F23="","",IF(E23="Revenue",F23-G23,G23-F23))</f>
        <v>0</v>
      </c>
      <c r="I23" s="9" t="n">
        <f aca="false">IF(OR(F23="",G23=0),"",H23/G23)</f>
        <v>0</v>
      </c>
    </row>
    <row r="24" customFormat="false" ht="15" hidden="false" customHeight="false" outlineLevel="0" collapsed="false">
      <c r="A24" s="6" t="n">
        <v>45323</v>
      </c>
      <c r="B24" s="4" t="n">
        <f aca="false">YEAR(A24)</f>
        <v>2024</v>
      </c>
      <c r="C24" s="4" t="n">
        <f aca="false">MONTH(A24)</f>
        <v>2</v>
      </c>
      <c r="D24" s="4" t="s">
        <v>51</v>
      </c>
      <c r="E24" s="4" t="s">
        <v>52</v>
      </c>
      <c r="F24" s="7" t="n">
        <v>257876</v>
      </c>
      <c r="G24" s="7" t="n">
        <v>250000</v>
      </c>
      <c r="H24" s="8" t="n">
        <f aca="false">IF(F24="","",IF(E24="Revenue",F24-G24,G24-F24))</f>
        <v>-7876</v>
      </c>
      <c r="I24" s="9" t="n">
        <f aca="false">IF(OR(F24="",G24=0),"",H24/G24)</f>
        <v>-0.031504</v>
      </c>
    </row>
    <row r="25" customFormat="false" ht="15" hidden="false" customHeight="false" outlineLevel="0" collapsed="false">
      <c r="A25" s="6" t="n">
        <v>45323</v>
      </c>
      <c r="B25" s="4" t="n">
        <f aca="false">YEAR(A25)</f>
        <v>2024</v>
      </c>
      <c r="C25" s="4" t="n">
        <f aca="false">MONTH(A25)</f>
        <v>2</v>
      </c>
      <c r="D25" s="4" t="s">
        <v>53</v>
      </c>
      <c r="E25" s="4" t="s">
        <v>54</v>
      </c>
      <c r="F25" s="7" t="n">
        <v>193944</v>
      </c>
      <c r="G25" s="7" t="n">
        <v>273671</v>
      </c>
      <c r="H25" s="8" t="n">
        <f aca="false">IF(F25="","",IF(E25="Revenue",F25-G25,G25-F25))</f>
        <v>79727</v>
      </c>
      <c r="I25" s="9" t="n">
        <f aca="false">IF(OR(F25="",G25=0),"",H25/G25)</f>
        <v>0.291324254305352</v>
      </c>
    </row>
    <row r="26" customFormat="false" ht="15" hidden="false" customHeight="false" outlineLevel="0" collapsed="false">
      <c r="A26" s="6" t="n">
        <v>45352</v>
      </c>
      <c r="B26" s="4" t="n">
        <f aca="false">YEAR(A26)</f>
        <v>2024</v>
      </c>
      <c r="C26" s="4" t="n">
        <f aca="false">MONTH(A26)</f>
        <v>3</v>
      </c>
      <c r="D26" s="4" t="s">
        <v>37</v>
      </c>
      <c r="E26" s="4" t="s">
        <v>38</v>
      </c>
      <c r="F26" s="7" t="n">
        <v>12017249</v>
      </c>
      <c r="G26" s="7" t="n">
        <v>12362700</v>
      </c>
      <c r="H26" s="8" t="n">
        <f aca="false">IF(F26="","",IF(E26="Revenue",F26-G26,G26-F26))</f>
        <v>-345451</v>
      </c>
      <c r="I26" s="9" t="n">
        <f aca="false">IF(OR(F26="",G26=0),"",H26/G26)</f>
        <v>-0.0279430059776586</v>
      </c>
    </row>
    <row r="27" customFormat="false" ht="15" hidden="false" customHeight="false" outlineLevel="0" collapsed="false">
      <c r="A27" s="6" t="n">
        <v>45352</v>
      </c>
      <c r="B27" s="4" t="n">
        <f aca="false">YEAR(A27)</f>
        <v>2024</v>
      </c>
      <c r="C27" s="4" t="n">
        <f aca="false">MONTH(A27)</f>
        <v>3</v>
      </c>
      <c r="D27" s="4" t="s">
        <v>39</v>
      </c>
      <c r="E27" s="4" t="s">
        <v>38</v>
      </c>
      <c r="F27" s="7" t="n">
        <v>4219545</v>
      </c>
      <c r="G27" s="7" t="n">
        <v>4120900</v>
      </c>
      <c r="H27" s="8" t="n">
        <f aca="false">IF(F27="","",IF(E27="Revenue",F27-G27,G27-F27))</f>
        <v>98645</v>
      </c>
      <c r="I27" s="9" t="n">
        <f aca="false">IF(OR(F27="",G27=0),"",H27/G27)</f>
        <v>0.0239377320488243</v>
      </c>
    </row>
    <row r="28" customFormat="false" ht="15" hidden="false" customHeight="false" outlineLevel="0" collapsed="false">
      <c r="A28" s="6" t="n">
        <v>45352</v>
      </c>
      <c r="B28" s="4" t="n">
        <f aca="false">YEAR(A28)</f>
        <v>2024</v>
      </c>
      <c r="C28" s="4" t="n">
        <f aca="false">MONTH(A28)</f>
        <v>3</v>
      </c>
      <c r="D28" s="4" t="s">
        <v>40</v>
      </c>
      <c r="E28" s="4" t="s">
        <v>41</v>
      </c>
      <c r="F28" s="7" t="n">
        <v>6351716</v>
      </c>
      <c r="G28" s="7" t="n">
        <v>6387396</v>
      </c>
      <c r="H28" s="8" t="n">
        <f aca="false">IF(F28="","",IF(E28="Revenue",F28-G28,G28-F28))</f>
        <v>35680</v>
      </c>
      <c r="I28" s="9" t="n">
        <f aca="false">IF(OR(F28="",G28=0),"",H28/G28)</f>
        <v>0.00558600093058267</v>
      </c>
    </row>
    <row r="29" customFormat="false" ht="15" hidden="false" customHeight="false" outlineLevel="0" collapsed="false">
      <c r="A29" s="6" t="n">
        <v>45352</v>
      </c>
      <c r="B29" s="4" t="n">
        <f aca="false">YEAR(A29)</f>
        <v>2024</v>
      </c>
      <c r="C29" s="4" t="n">
        <f aca="false">MONTH(A29)</f>
        <v>3</v>
      </c>
      <c r="D29" s="4" t="s">
        <v>42</v>
      </c>
      <c r="E29" s="4" t="s">
        <v>41</v>
      </c>
      <c r="F29" s="7" t="n">
        <v>1573569</v>
      </c>
      <c r="G29" s="7" t="n">
        <v>1530151</v>
      </c>
      <c r="H29" s="8" t="n">
        <f aca="false">IF(F29="","",IF(E29="Revenue",F29-G29,G29-F29))</f>
        <v>-43418</v>
      </c>
      <c r="I29" s="9" t="n">
        <f aca="false">IF(OR(F29="",G29=0),"",H29/G29)</f>
        <v>-0.0283749773715143</v>
      </c>
    </row>
    <row r="30" customFormat="false" ht="15" hidden="false" customHeight="false" outlineLevel="0" collapsed="false">
      <c r="A30" s="6" t="n">
        <v>45352</v>
      </c>
      <c r="B30" s="4" t="n">
        <f aca="false">YEAR(A30)</f>
        <v>2024</v>
      </c>
      <c r="C30" s="4" t="n">
        <f aca="false">MONTH(A30)</f>
        <v>3</v>
      </c>
      <c r="D30" s="4" t="s">
        <v>43</v>
      </c>
      <c r="E30" s="4" t="s">
        <v>44</v>
      </c>
      <c r="F30" s="7" t="n">
        <v>3617840</v>
      </c>
      <c r="G30" s="7" t="n">
        <v>3542127</v>
      </c>
      <c r="H30" s="8" t="n">
        <f aca="false">IF(F30="","",IF(E30="Revenue",F30-G30,G30-F30))</f>
        <v>-75713</v>
      </c>
      <c r="I30" s="9" t="n">
        <f aca="false">IF(OR(F30="",G30=0),"",H30/G30)</f>
        <v>-0.0213750099869372</v>
      </c>
    </row>
    <row r="31" customFormat="false" ht="15" hidden="false" customHeight="false" outlineLevel="0" collapsed="false">
      <c r="A31" s="6" t="n">
        <v>45352</v>
      </c>
      <c r="B31" s="4" t="n">
        <f aca="false">YEAR(A31)</f>
        <v>2024</v>
      </c>
      <c r="C31" s="4" t="n">
        <f aca="false">MONTH(A31)</f>
        <v>3</v>
      </c>
      <c r="D31" s="4" t="s">
        <v>45</v>
      </c>
      <c r="E31" s="4" t="s">
        <v>44</v>
      </c>
      <c r="F31" s="7" t="n">
        <v>1267884</v>
      </c>
      <c r="G31" s="7" t="n">
        <v>1224120</v>
      </c>
      <c r="H31" s="8" t="n">
        <f aca="false">IF(F31="","",IF(E31="Revenue",F31-G31,G31-F31))</f>
        <v>-43764</v>
      </c>
      <c r="I31" s="9" t="n">
        <f aca="false">IF(OR(F31="",G31=0),"",H31/G31)</f>
        <v>-0.0357513969218704</v>
      </c>
    </row>
    <row r="32" customFormat="false" ht="15" hidden="false" customHeight="false" outlineLevel="0" collapsed="false">
      <c r="A32" s="6" t="n">
        <v>45352</v>
      </c>
      <c r="B32" s="4" t="n">
        <f aca="false">YEAR(A32)</f>
        <v>2024</v>
      </c>
      <c r="C32" s="4" t="n">
        <f aca="false">MONTH(A32)</f>
        <v>3</v>
      </c>
      <c r="D32" s="4" t="s">
        <v>46</v>
      </c>
      <c r="E32" s="4" t="s">
        <v>44</v>
      </c>
      <c r="F32" s="7" t="n">
        <v>602403</v>
      </c>
      <c r="G32" s="7" t="n">
        <v>602403</v>
      </c>
      <c r="H32" s="8" t="n">
        <f aca="false">IF(F32="","",IF(E32="Revenue",F32-G32,G32-F32))</f>
        <v>0</v>
      </c>
      <c r="I32" s="9" t="n">
        <f aca="false">IF(OR(F32="",G32=0),"",H32/G32)</f>
        <v>0</v>
      </c>
    </row>
    <row r="33" customFormat="false" ht="15" hidden="false" customHeight="false" outlineLevel="0" collapsed="false">
      <c r="A33" s="6" t="n">
        <v>45352</v>
      </c>
      <c r="B33" s="4" t="n">
        <f aca="false">YEAR(A33)</f>
        <v>2024</v>
      </c>
      <c r="C33" s="4" t="n">
        <f aca="false">MONTH(A33)</f>
        <v>3</v>
      </c>
      <c r="D33" s="4" t="s">
        <v>47</v>
      </c>
      <c r="E33" s="4" t="s">
        <v>44</v>
      </c>
      <c r="F33" s="7" t="n">
        <v>468911</v>
      </c>
      <c r="G33" s="7" t="n">
        <v>457229</v>
      </c>
      <c r="H33" s="8" t="n">
        <f aca="false">IF(F33="","",IF(E33="Revenue",F33-G33,G33-F33))</f>
        <v>-11682</v>
      </c>
      <c r="I33" s="9" t="n">
        <f aca="false">IF(OR(F33="",G33=0),"",H33/G33)</f>
        <v>-0.0255495605046924</v>
      </c>
    </row>
    <row r="34" customFormat="false" ht="15" hidden="false" customHeight="false" outlineLevel="0" collapsed="false">
      <c r="A34" s="6" t="n">
        <v>45352</v>
      </c>
      <c r="B34" s="4" t="n">
        <f aca="false">YEAR(A34)</f>
        <v>2024</v>
      </c>
      <c r="C34" s="4" t="n">
        <f aca="false">MONTH(A34)</f>
        <v>3</v>
      </c>
      <c r="D34" s="4" t="s">
        <v>48</v>
      </c>
      <c r="E34" s="4" t="s">
        <v>44</v>
      </c>
      <c r="F34" s="7" t="n">
        <v>266561</v>
      </c>
      <c r="G34" s="7" t="n">
        <v>303007</v>
      </c>
      <c r="H34" s="8" t="n">
        <f aca="false">IF(F34="","",IF(E34="Revenue",F34-G34,G34-F34))</f>
        <v>36446</v>
      </c>
      <c r="I34" s="9" t="n">
        <f aca="false">IF(OR(F34="",G34=0),"",H34/G34)</f>
        <v>0.120281049612715</v>
      </c>
    </row>
    <row r="35" customFormat="false" ht="15" hidden="false" customHeight="false" outlineLevel="0" collapsed="false">
      <c r="A35" s="6" t="n">
        <v>45352</v>
      </c>
      <c r="B35" s="4" t="n">
        <f aca="false">YEAR(A35)</f>
        <v>2024</v>
      </c>
      <c r="C35" s="4" t="n">
        <f aca="false">MONTH(A35)</f>
        <v>3</v>
      </c>
      <c r="D35" s="4" t="s">
        <v>49</v>
      </c>
      <c r="E35" s="4" t="s">
        <v>50</v>
      </c>
      <c r="F35" s="7" t="n">
        <v>402404</v>
      </c>
      <c r="G35" s="7" t="n">
        <v>402404</v>
      </c>
      <c r="H35" s="8" t="n">
        <f aca="false">IF(F35="","",IF(E35="Revenue",F35-G35,G35-F35))</f>
        <v>0</v>
      </c>
      <c r="I35" s="9" t="n">
        <f aca="false">IF(OR(F35="",G35=0),"",H35/G35)</f>
        <v>0</v>
      </c>
    </row>
    <row r="36" customFormat="false" ht="15" hidden="false" customHeight="false" outlineLevel="0" collapsed="false">
      <c r="A36" s="6" t="n">
        <v>45352</v>
      </c>
      <c r="B36" s="4" t="n">
        <f aca="false">YEAR(A36)</f>
        <v>2024</v>
      </c>
      <c r="C36" s="4" t="n">
        <f aca="false">MONTH(A36)</f>
        <v>3</v>
      </c>
      <c r="D36" s="4" t="s">
        <v>51</v>
      </c>
      <c r="E36" s="4" t="s">
        <v>52</v>
      </c>
      <c r="F36" s="7" t="n">
        <v>258251</v>
      </c>
      <c r="G36" s="7" t="n">
        <v>250000</v>
      </c>
      <c r="H36" s="8" t="n">
        <f aca="false">IF(F36="","",IF(E36="Revenue",F36-G36,G36-F36))</f>
        <v>-8251</v>
      </c>
      <c r="I36" s="9" t="n">
        <f aca="false">IF(OR(F36="",G36=0),"",H36/G36)</f>
        <v>-0.033004</v>
      </c>
    </row>
    <row r="37" customFormat="false" ht="15" hidden="false" customHeight="false" outlineLevel="0" collapsed="false">
      <c r="A37" s="6" t="n">
        <v>45352</v>
      </c>
      <c r="B37" s="4" t="n">
        <f aca="false">YEAR(A37)</f>
        <v>2024</v>
      </c>
      <c r="C37" s="4" t="n">
        <f aca="false">MONTH(A37)</f>
        <v>3</v>
      </c>
      <c r="D37" s="4" t="s">
        <v>53</v>
      </c>
      <c r="E37" s="4" t="s">
        <v>54</v>
      </c>
      <c r="F37" s="7" t="n">
        <v>356813</v>
      </c>
      <c r="G37" s="7" t="n">
        <v>446191</v>
      </c>
      <c r="H37" s="8" t="n">
        <f aca="false">IF(F37="","",IF(E37="Revenue",F37-G37,G37-F37))</f>
        <v>89378</v>
      </c>
      <c r="I37" s="9" t="n">
        <f aca="false">IF(OR(F37="",G37=0),"",H37/G37)</f>
        <v>0.200313318735698</v>
      </c>
    </row>
    <row r="38" customFormat="false" ht="15" hidden="false" customHeight="false" outlineLevel="0" collapsed="false">
      <c r="A38" s="6" t="n">
        <v>45383</v>
      </c>
      <c r="B38" s="4" t="n">
        <f aca="false">YEAR(A38)</f>
        <v>2024</v>
      </c>
      <c r="C38" s="4" t="n">
        <f aca="false">MONTH(A38)</f>
        <v>4</v>
      </c>
      <c r="D38" s="4" t="s">
        <v>37</v>
      </c>
      <c r="E38" s="4" t="s">
        <v>38</v>
      </c>
      <c r="F38" s="7" t="n">
        <v>12671880</v>
      </c>
      <c r="G38" s="7" t="n">
        <v>13301029</v>
      </c>
      <c r="H38" s="8" t="n">
        <f aca="false">IF(F38="","",IF(E38="Revenue",F38-G38,G38-F38))</f>
        <v>-629149</v>
      </c>
      <c r="I38" s="9" t="n">
        <f aca="false">IF(OR(F38="",G38=0),"",H38/G38)</f>
        <v>-0.0473007765038329</v>
      </c>
    </row>
    <row r="39" customFormat="false" ht="15" hidden="false" customHeight="false" outlineLevel="0" collapsed="false">
      <c r="A39" s="6" t="n">
        <v>45383</v>
      </c>
      <c r="B39" s="4" t="n">
        <f aca="false">YEAR(A39)</f>
        <v>2024</v>
      </c>
      <c r="C39" s="4" t="n">
        <f aca="false">MONTH(A39)</f>
        <v>4</v>
      </c>
      <c r="D39" s="4" t="s">
        <v>39</v>
      </c>
      <c r="E39" s="4" t="s">
        <v>38</v>
      </c>
      <c r="F39" s="7" t="n">
        <v>4524584</v>
      </c>
      <c r="G39" s="7" t="n">
        <v>4433676</v>
      </c>
      <c r="H39" s="8" t="n">
        <f aca="false">IF(F39="","",IF(E39="Revenue",F39-G39,G39-F39))</f>
        <v>90908</v>
      </c>
      <c r="I39" s="9" t="n">
        <f aca="false">IF(OR(F39="",G39=0),"",H39/G39)</f>
        <v>0.0205039790909394</v>
      </c>
    </row>
    <row r="40" customFormat="false" ht="15" hidden="false" customHeight="false" outlineLevel="0" collapsed="false">
      <c r="A40" s="6" t="n">
        <v>45383</v>
      </c>
      <c r="B40" s="4" t="n">
        <f aca="false">YEAR(A40)</f>
        <v>2024</v>
      </c>
      <c r="C40" s="4" t="n">
        <f aca="false">MONTH(A40)</f>
        <v>4</v>
      </c>
      <c r="D40" s="4" t="s">
        <v>40</v>
      </c>
      <c r="E40" s="4" t="s">
        <v>41</v>
      </c>
      <c r="F40" s="7" t="n">
        <v>6707543</v>
      </c>
      <c r="G40" s="7" t="n">
        <v>6872198</v>
      </c>
      <c r="H40" s="8" t="n">
        <f aca="false">IF(F40="","",IF(E40="Revenue",F40-G40,G40-F40))</f>
        <v>164655</v>
      </c>
      <c r="I40" s="9" t="n">
        <f aca="false">IF(OR(F40="",G40=0),"",H40/G40)</f>
        <v>0.0239595832366879</v>
      </c>
    </row>
    <row r="41" customFormat="false" ht="15" hidden="false" customHeight="false" outlineLevel="0" collapsed="false">
      <c r="A41" s="6" t="n">
        <v>45383</v>
      </c>
      <c r="B41" s="4" t="n">
        <f aca="false">YEAR(A41)</f>
        <v>2024</v>
      </c>
      <c r="C41" s="4" t="n">
        <f aca="false">MONTH(A41)</f>
        <v>4</v>
      </c>
      <c r="D41" s="4" t="s">
        <v>42</v>
      </c>
      <c r="E41" s="4" t="s">
        <v>41</v>
      </c>
      <c r="F41" s="7" t="n">
        <v>1576859</v>
      </c>
      <c r="G41" s="7" t="n">
        <v>1545451</v>
      </c>
      <c r="H41" s="8" t="n">
        <f aca="false">IF(F41="","",IF(E41="Revenue",F41-G41,G41-F41))</f>
        <v>-31408</v>
      </c>
      <c r="I41" s="9" t="n">
        <f aca="false">IF(OR(F41="",G41=0),"",H41/G41)</f>
        <v>-0.0203228701524668</v>
      </c>
    </row>
    <row r="42" customFormat="false" ht="15" hidden="false" customHeight="false" outlineLevel="0" collapsed="false">
      <c r="A42" s="6" t="n">
        <v>45383</v>
      </c>
      <c r="B42" s="4" t="n">
        <f aca="false">YEAR(A42)</f>
        <v>2024</v>
      </c>
      <c r="C42" s="4" t="n">
        <f aca="false">MONTH(A42)</f>
        <v>4</v>
      </c>
      <c r="D42" s="4" t="s">
        <v>43</v>
      </c>
      <c r="E42" s="4" t="s">
        <v>44</v>
      </c>
      <c r="F42" s="7" t="n">
        <v>3643308</v>
      </c>
      <c r="G42" s="7" t="n">
        <v>3563380</v>
      </c>
      <c r="H42" s="8" t="n">
        <f aca="false">IF(F42="","",IF(E42="Revenue",F42-G42,G42-F42))</f>
        <v>-79928</v>
      </c>
      <c r="I42" s="9" t="n">
        <f aca="false">IF(OR(F42="",G42=0),"",H42/G42)</f>
        <v>-0.0224303891249319</v>
      </c>
    </row>
    <row r="43" customFormat="false" ht="15" hidden="false" customHeight="false" outlineLevel="0" collapsed="false">
      <c r="A43" s="6" t="n">
        <v>45383</v>
      </c>
      <c r="B43" s="4" t="n">
        <f aca="false">YEAR(A43)</f>
        <v>2024</v>
      </c>
      <c r="C43" s="4" t="n">
        <f aca="false">MONTH(A43)</f>
        <v>4</v>
      </c>
      <c r="D43" s="4" t="s">
        <v>45</v>
      </c>
      <c r="E43" s="4" t="s">
        <v>44</v>
      </c>
      <c r="F43" s="7" t="n">
        <v>1281188</v>
      </c>
      <c r="G43" s="7" t="n">
        <v>1236360</v>
      </c>
      <c r="H43" s="8" t="n">
        <f aca="false">IF(F43="","",IF(E43="Revenue",F43-G43,G43-F43))</f>
        <v>-44828</v>
      </c>
      <c r="I43" s="9" t="n">
        <f aca="false">IF(OR(F43="",G43=0),"",H43/G43)</f>
        <v>-0.0362580478177877</v>
      </c>
    </row>
    <row r="44" customFormat="false" ht="15" hidden="false" customHeight="false" outlineLevel="0" collapsed="false">
      <c r="A44" s="6" t="n">
        <v>45383</v>
      </c>
      <c r="B44" s="4" t="n">
        <f aca="false">YEAR(A44)</f>
        <v>2024</v>
      </c>
      <c r="C44" s="4" t="n">
        <f aca="false">MONTH(A44)</f>
        <v>4</v>
      </c>
      <c r="D44" s="4" t="s">
        <v>46</v>
      </c>
      <c r="E44" s="4" t="s">
        <v>44</v>
      </c>
      <c r="F44" s="7" t="n">
        <v>603607</v>
      </c>
      <c r="G44" s="7" t="n">
        <v>603607</v>
      </c>
      <c r="H44" s="8" t="n">
        <f aca="false">IF(F44="","",IF(E44="Revenue",F44-G44,G44-F44))</f>
        <v>0</v>
      </c>
      <c r="I44" s="9" t="n">
        <f aca="false">IF(OR(F44="",G44=0),"",H44/G44)</f>
        <v>0</v>
      </c>
    </row>
    <row r="45" customFormat="false" ht="15" hidden="false" customHeight="false" outlineLevel="0" collapsed="false">
      <c r="A45" s="6" t="n">
        <v>45383</v>
      </c>
      <c r="B45" s="4" t="n">
        <f aca="false">YEAR(A45)</f>
        <v>2024</v>
      </c>
      <c r="C45" s="4" t="n">
        <f aca="false">MONTH(A45)</f>
        <v>4</v>
      </c>
      <c r="D45" s="4" t="s">
        <v>47</v>
      </c>
      <c r="E45" s="4" t="s">
        <v>44</v>
      </c>
      <c r="F45" s="7" t="n">
        <v>474281</v>
      </c>
      <c r="G45" s="7" t="n">
        <v>460887</v>
      </c>
      <c r="H45" s="8" t="n">
        <f aca="false">IF(F45="","",IF(E45="Revenue",F45-G45,G45-F45))</f>
        <v>-13394</v>
      </c>
      <c r="I45" s="9" t="n">
        <f aca="false">IF(OR(F45="",G45=0),"",H45/G45)</f>
        <v>-0.029061353433705</v>
      </c>
    </row>
    <row r="46" customFormat="false" ht="15" hidden="false" customHeight="false" outlineLevel="0" collapsed="false">
      <c r="A46" s="6" t="n">
        <v>45383</v>
      </c>
      <c r="B46" s="4" t="n">
        <f aca="false">YEAR(A46)</f>
        <v>2024</v>
      </c>
      <c r="C46" s="4" t="n">
        <f aca="false">MONTH(A46)</f>
        <v>4</v>
      </c>
      <c r="D46" s="4" t="s">
        <v>48</v>
      </c>
      <c r="E46" s="4" t="s">
        <v>44</v>
      </c>
      <c r="F46" s="7" t="n">
        <v>267036</v>
      </c>
      <c r="G46" s="7" t="n">
        <v>304523</v>
      </c>
      <c r="H46" s="8" t="n">
        <f aca="false">IF(F46="","",IF(E46="Revenue",F46-G46,G46-F46))</f>
        <v>37487</v>
      </c>
      <c r="I46" s="9" t="n">
        <f aca="false">IF(OR(F46="",G46=0),"",H46/G46)</f>
        <v>0.123100718172355</v>
      </c>
    </row>
    <row r="47" customFormat="false" ht="15" hidden="false" customHeight="false" outlineLevel="0" collapsed="false">
      <c r="A47" s="6" t="n">
        <v>45383</v>
      </c>
      <c r="B47" s="4" t="n">
        <f aca="false">YEAR(A47)</f>
        <v>2024</v>
      </c>
      <c r="C47" s="4" t="n">
        <f aca="false">MONTH(A47)</f>
        <v>4</v>
      </c>
      <c r="D47" s="4" t="s">
        <v>49</v>
      </c>
      <c r="E47" s="4" t="s">
        <v>50</v>
      </c>
      <c r="F47" s="7" t="n">
        <v>403611</v>
      </c>
      <c r="G47" s="7" t="n">
        <v>403611</v>
      </c>
      <c r="H47" s="8" t="n">
        <f aca="false">IF(F47="","",IF(E47="Revenue",F47-G47,G47-F47))</f>
        <v>0</v>
      </c>
      <c r="I47" s="9" t="n">
        <f aca="false">IF(OR(F47="",G47=0),"",H47/G47)</f>
        <v>0</v>
      </c>
    </row>
    <row r="48" customFormat="false" ht="15" hidden="false" customHeight="false" outlineLevel="0" collapsed="false">
      <c r="A48" s="6" t="n">
        <v>45383</v>
      </c>
      <c r="B48" s="4" t="n">
        <f aca="false">YEAR(A48)</f>
        <v>2024</v>
      </c>
      <c r="C48" s="4" t="n">
        <f aca="false">MONTH(A48)</f>
        <v>4</v>
      </c>
      <c r="D48" s="4" t="s">
        <v>51</v>
      </c>
      <c r="E48" s="4" t="s">
        <v>52</v>
      </c>
      <c r="F48" s="7" t="n">
        <v>258626</v>
      </c>
      <c r="G48" s="7" t="n">
        <v>250000</v>
      </c>
      <c r="H48" s="8" t="n">
        <f aca="false">IF(F48="","",IF(E48="Revenue",F48-G48,G48-F48))</f>
        <v>-8626</v>
      </c>
      <c r="I48" s="9" t="n">
        <f aca="false">IF(OR(F48="",G48=0),"",H48/G48)</f>
        <v>-0.034504</v>
      </c>
    </row>
    <row r="49" customFormat="false" ht="15" hidden="false" customHeight="false" outlineLevel="0" collapsed="false">
      <c r="A49" s="6" t="n">
        <v>45383</v>
      </c>
      <c r="B49" s="4" t="n">
        <f aca="false">YEAR(A49)</f>
        <v>2024</v>
      </c>
      <c r="C49" s="4" t="n">
        <f aca="false">MONTH(A49)</f>
        <v>4</v>
      </c>
      <c r="D49" s="4" t="s">
        <v>53</v>
      </c>
      <c r="E49" s="4" t="s">
        <v>54</v>
      </c>
      <c r="F49" s="7" t="n">
        <v>495101</v>
      </c>
      <c r="G49" s="7" t="n">
        <v>623673</v>
      </c>
      <c r="H49" s="8" t="n">
        <f aca="false">IF(F49="","",IF(E49="Revenue",F49-G49,G49-F49))</f>
        <v>128572</v>
      </c>
      <c r="I49" s="9" t="n">
        <f aca="false">IF(OR(F49="",G49=0),"",H49/G49)</f>
        <v>0.206152903845445</v>
      </c>
    </row>
    <row r="50" customFormat="false" ht="15" hidden="false" customHeight="false" outlineLevel="0" collapsed="false">
      <c r="A50" s="6" t="n">
        <v>45413</v>
      </c>
      <c r="B50" s="4" t="n">
        <f aca="false">YEAR(A50)</f>
        <v>2024</v>
      </c>
      <c r="C50" s="4" t="n">
        <f aca="false">MONTH(A50)</f>
        <v>5</v>
      </c>
      <c r="D50" s="4" t="s">
        <v>37</v>
      </c>
      <c r="E50" s="4" t="s">
        <v>38</v>
      </c>
      <c r="F50" s="7" t="n">
        <v>13480414</v>
      </c>
      <c r="G50" s="7" t="n">
        <v>14059964</v>
      </c>
      <c r="H50" s="8" t="n">
        <f aca="false">IF(F50="","",IF(E50="Revenue",F50-G50,G50-F50))</f>
        <v>-579550</v>
      </c>
      <c r="I50" s="9" t="n">
        <f aca="false">IF(OR(F50="",G50=0),"",H50/G50)</f>
        <v>-0.0412198779456334</v>
      </c>
    </row>
    <row r="51" customFormat="false" ht="15" hidden="false" customHeight="false" outlineLevel="0" collapsed="false">
      <c r="A51" s="6" t="n">
        <v>45413</v>
      </c>
      <c r="B51" s="4" t="n">
        <f aca="false">YEAR(A51)</f>
        <v>2024</v>
      </c>
      <c r="C51" s="4" t="n">
        <f aca="false">MONTH(A51)</f>
        <v>5</v>
      </c>
      <c r="D51" s="4" t="s">
        <v>39</v>
      </c>
      <c r="E51" s="4" t="s">
        <v>38</v>
      </c>
      <c r="F51" s="7" t="n">
        <v>4707014</v>
      </c>
      <c r="G51" s="7" t="n">
        <v>4686654</v>
      </c>
      <c r="H51" s="8" t="n">
        <f aca="false">IF(F51="","",IF(E51="Revenue",F51-G51,G51-F51))</f>
        <v>20360</v>
      </c>
      <c r="I51" s="9" t="n">
        <f aca="false">IF(OR(F51="",G51=0),"",H51/G51)</f>
        <v>0.00434425071703608</v>
      </c>
    </row>
    <row r="52" customFormat="false" ht="15" hidden="false" customHeight="false" outlineLevel="0" collapsed="false">
      <c r="A52" s="6" t="n">
        <v>45413</v>
      </c>
      <c r="B52" s="4" t="n">
        <f aca="false">YEAR(A52)</f>
        <v>2024</v>
      </c>
      <c r="C52" s="4" t="n">
        <f aca="false">MONTH(A52)</f>
        <v>5</v>
      </c>
      <c r="D52" s="4" t="s">
        <v>40</v>
      </c>
      <c r="E52" s="4" t="s">
        <v>41</v>
      </c>
      <c r="F52" s="7" t="n">
        <v>7145967</v>
      </c>
      <c r="G52" s="7" t="n">
        <v>7264314</v>
      </c>
      <c r="H52" s="8" t="n">
        <f aca="false">IF(F52="","",IF(E52="Revenue",F52-G52,G52-F52))</f>
        <v>118347</v>
      </c>
      <c r="I52" s="9" t="n">
        <f aca="false">IF(OR(F52="",G52=0),"",H52/G52)</f>
        <v>0.0162915589827202</v>
      </c>
    </row>
    <row r="53" customFormat="false" ht="15" hidden="false" customHeight="false" outlineLevel="0" collapsed="false">
      <c r="A53" s="6" t="n">
        <v>45413</v>
      </c>
      <c r="B53" s="4" t="n">
        <f aca="false">YEAR(A53)</f>
        <v>2024</v>
      </c>
      <c r="C53" s="4" t="n">
        <f aca="false">MONTH(A53)</f>
        <v>5</v>
      </c>
      <c r="D53" s="4" t="s">
        <v>42</v>
      </c>
      <c r="E53" s="4" t="s">
        <v>41</v>
      </c>
      <c r="F53" s="7" t="n">
        <v>1596576</v>
      </c>
      <c r="G53" s="7" t="n">
        <v>1560907</v>
      </c>
      <c r="H53" s="8" t="n">
        <f aca="false">IF(F53="","",IF(E53="Revenue",F53-G53,G53-F53))</f>
        <v>-35669</v>
      </c>
      <c r="I53" s="9" t="n">
        <f aca="false">IF(OR(F53="",G53=0),"",H53/G53)</f>
        <v>-0.0228514575179687</v>
      </c>
    </row>
    <row r="54" customFormat="false" ht="15" hidden="false" customHeight="false" outlineLevel="0" collapsed="false">
      <c r="A54" s="6" t="n">
        <v>45413</v>
      </c>
      <c r="B54" s="4" t="n">
        <f aca="false">YEAR(A54)</f>
        <v>2024</v>
      </c>
      <c r="C54" s="4" t="n">
        <f aca="false">MONTH(A54)</f>
        <v>5</v>
      </c>
      <c r="D54" s="4" t="s">
        <v>43</v>
      </c>
      <c r="E54" s="4" t="s">
        <v>44</v>
      </c>
      <c r="F54" s="7" t="n">
        <v>3669723</v>
      </c>
      <c r="G54" s="7" t="n">
        <v>3584760</v>
      </c>
      <c r="H54" s="8" t="n">
        <f aca="false">IF(F54="","",IF(E54="Revenue",F54-G54,G54-F54))</f>
        <v>-84963</v>
      </c>
      <c r="I54" s="9" t="n">
        <f aca="false">IF(OR(F54="",G54=0),"",H54/G54)</f>
        <v>-0.023701168279048</v>
      </c>
    </row>
    <row r="55" customFormat="false" ht="15" hidden="false" customHeight="false" outlineLevel="0" collapsed="false">
      <c r="A55" s="6" t="n">
        <v>45413</v>
      </c>
      <c r="B55" s="4" t="n">
        <f aca="false">YEAR(A55)</f>
        <v>2024</v>
      </c>
      <c r="C55" s="4" t="n">
        <f aca="false">MONTH(A55)</f>
        <v>5</v>
      </c>
      <c r="D55" s="4" t="s">
        <v>45</v>
      </c>
      <c r="E55" s="4" t="s">
        <v>44</v>
      </c>
      <c r="F55" s="7" t="n">
        <v>1299532</v>
      </c>
      <c r="G55" s="7" t="n">
        <v>1248724</v>
      </c>
      <c r="H55" s="8" t="n">
        <f aca="false">IF(F55="","",IF(E55="Revenue",F55-G55,G55-F55))</f>
        <v>-50808</v>
      </c>
      <c r="I55" s="9" t="n">
        <f aca="false">IF(OR(F55="",G55=0),"",H55/G55)</f>
        <v>-0.0406879342432755</v>
      </c>
    </row>
    <row r="56" customFormat="false" ht="15" hidden="false" customHeight="false" outlineLevel="0" collapsed="false">
      <c r="A56" s="6" t="n">
        <v>45413</v>
      </c>
      <c r="B56" s="4" t="n">
        <f aca="false">YEAR(A56)</f>
        <v>2024</v>
      </c>
      <c r="C56" s="4" t="n">
        <f aca="false">MONTH(A56)</f>
        <v>5</v>
      </c>
      <c r="D56" s="4" t="s">
        <v>46</v>
      </c>
      <c r="E56" s="4" t="s">
        <v>44</v>
      </c>
      <c r="F56" s="7" t="n">
        <v>604814</v>
      </c>
      <c r="G56" s="7" t="n">
        <v>604814</v>
      </c>
      <c r="H56" s="8" t="n">
        <f aca="false">IF(F56="","",IF(E56="Revenue",F56-G56,G56-F56))</f>
        <v>0</v>
      </c>
      <c r="I56" s="9" t="n">
        <f aca="false">IF(OR(F56="",G56=0),"",H56/G56)</f>
        <v>0</v>
      </c>
    </row>
    <row r="57" customFormat="false" ht="15" hidden="false" customHeight="false" outlineLevel="0" collapsed="false">
      <c r="A57" s="6" t="n">
        <v>45413</v>
      </c>
      <c r="B57" s="4" t="n">
        <f aca="false">YEAR(A57)</f>
        <v>2024</v>
      </c>
      <c r="C57" s="4" t="n">
        <f aca="false">MONTH(A57)</f>
        <v>5</v>
      </c>
      <c r="D57" s="4" t="s">
        <v>47</v>
      </c>
      <c r="E57" s="4" t="s">
        <v>44</v>
      </c>
      <c r="F57" s="7" t="n">
        <v>479910</v>
      </c>
      <c r="G57" s="7" t="n">
        <v>464573</v>
      </c>
      <c r="H57" s="8" t="n">
        <f aca="false">IF(F57="","",IF(E57="Revenue",F57-G57,G57-F57))</f>
        <v>-15337</v>
      </c>
      <c r="I57" s="9" t="n">
        <f aca="false">IF(OR(F57="",G57=0),"",H57/G57)</f>
        <v>-0.0330131109642618</v>
      </c>
    </row>
    <row r="58" customFormat="false" ht="15" hidden="false" customHeight="false" outlineLevel="0" collapsed="false">
      <c r="A58" s="6" t="n">
        <v>45413</v>
      </c>
      <c r="B58" s="4" t="n">
        <f aca="false">YEAR(A58)</f>
        <v>2024</v>
      </c>
      <c r="C58" s="4" t="n">
        <f aca="false">MONTH(A58)</f>
        <v>5</v>
      </c>
      <c r="D58" s="4" t="s">
        <v>48</v>
      </c>
      <c r="E58" s="4" t="s">
        <v>44</v>
      </c>
      <c r="F58" s="7" t="n">
        <v>268867</v>
      </c>
      <c r="G58" s="7" t="n">
        <v>306046</v>
      </c>
      <c r="H58" s="8" t="n">
        <f aca="false">IF(F58="","",IF(E58="Revenue",F58-G58,G58-F58))</f>
        <v>37179</v>
      </c>
      <c r="I58" s="9" t="n">
        <f aca="false">IF(OR(F58="",G58=0),"",H58/G58)</f>
        <v>0.12148173803938</v>
      </c>
    </row>
    <row r="59" customFormat="false" ht="15" hidden="false" customHeight="false" outlineLevel="0" collapsed="false">
      <c r="A59" s="6" t="n">
        <v>45413</v>
      </c>
      <c r="B59" s="4" t="n">
        <f aca="false">YEAR(A59)</f>
        <v>2024</v>
      </c>
      <c r="C59" s="4" t="n">
        <f aca="false">MONTH(A59)</f>
        <v>5</v>
      </c>
      <c r="D59" s="4" t="s">
        <v>49</v>
      </c>
      <c r="E59" s="4" t="s">
        <v>50</v>
      </c>
      <c r="F59" s="7" t="n">
        <v>404820</v>
      </c>
      <c r="G59" s="7" t="n">
        <v>404820</v>
      </c>
      <c r="H59" s="8" t="n">
        <f aca="false">IF(F59="","",IF(E59="Revenue",F59-G59,G59-F59))</f>
        <v>0</v>
      </c>
      <c r="I59" s="9" t="n">
        <f aca="false">IF(OR(F59="",G59=0),"",H59/G59)</f>
        <v>0</v>
      </c>
    </row>
    <row r="60" customFormat="false" ht="15" hidden="false" customHeight="false" outlineLevel="0" collapsed="false">
      <c r="A60" s="6" t="n">
        <v>45413</v>
      </c>
      <c r="B60" s="4" t="n">
        <f aca="false">YEAR(A60)</f>
        <v>2024</v>
      </c>
      <c r="C60" s="4" t="n">
        <f aca="false">MONTH(A60)</f>
        <v>5</v>
      </c>
      <c r="D60" s="4" t="s">
        <v>51</v>
      </c>
      <c r="E60" s="4" t="s">
        <v>52</v>
      </c>
      <c r="F60" s="7" t="n">
        <v>259000</v>
      </c>
      <c r="G60" s="7" t="n">
        <v>250000</v>
      </c>
      <c r="H60" s="8" t="n">
        <f aca="false">IF(F60="","",IF(E60="Revenue",F60-G60,G60-F60))</f>
        <v>-9000</v>
      </c>
      <c r="I60" s="9" t="n">
        <f aca="false">IF(OR(F60="",G60=0),"",H60/G60)</f>
        <v>-0.036</v>
      </c>
    </row>
    <row r="61" customFormat="false" ht="15" hidden="false" customHeight="false" outlineLevel="0" collapsed="false">
      <c r="A61" s="6" t="n">
        <v>45413</v>
      </c>
      <c r="B61" s="4" t="n">
        <f aca="false">YEAR(A61)</f>
        <v>2024</v>
      </c>
      <c r="C61" s="4" t="n">
        <f aca="false">MONTH(A61)</f>
        <v>5</v>
      </c>
      <c r="D61" s="4" t="s">
        <v>53</v>
      </c>
      <c r="E61" s="4" t="s">
        <v>54</v>
      </c>
      <c r="F61" s="7" t="n">
        <v>614556</v>
      </c>
      <c r="G61" s="7" t="n">
        <v>764416</v>
      </c>
      <c r="H61" s="8" t="n">
        <f aca="false">IF(F61="","",IF(E61="Revenue",F61-G61,G61-F61))</f>
        <v>149860</v>
      </c>
      <c r="I61" s="9" t="n">
        <f aca="false">IF(OR(F61="",G61=0),"",H61/G61)</f>
        <v>0.196045085398526</v>
      </c>
    </row>
    <row r="62" customFormat="false" ht="15" hidden="false" customHeight="false" outlineLevel="0" collapsed="false">
      <c r="A62" s="6" t="n">
        <v>45444</v>
      </c>
      <c r="B62" s="4" t="n">
        <f aca="false">YEAR(A62)</f>
        <v>2024</v>
      </c>
      <c r="C62" s="4" t="n">
        <f aca="false">MONTH(A62)</f>
        <v>6</v>
      </c>
      <c r="D62" s="4" t="s">
        <v>37</v>
      </c>
      <c r="E62" s="4" t="s">
        <v>38</v>
      </c>
      <c r="F62" s="7" t="n">
        <v>13902247</v>
      </c>
      <c r="G62" s="7" t="n">
        <v>14478697</v>
      </c>
      <c r="H62" s="8" t="n">
        <f aca="false">IF(F62="","",IF(E62="Revenue",F62-G62,G62-F62))</f>
        <v>-576450</v>
      </c>
      <c r="I62" s="9" t="n">
        <f aca="false">IF(OR(F62="",G62=0),"",H62/G62)</f>
        <v>-0.0398136655529154</v>
      </c>
    </row>
    <row r="63" customFormat="false" ht="15" hidden="false" customHeight="false" outlineLevel="0" collapsed="false">
      <c r="A63" s="6" t="n">
        <v>45444</v>
      </c>
      <c r="B63" s="4" t="n">
        <f aca="false">YEAR(A63)</f>
        <v>2024</v>
      </c>
      <c r="C63" s="4" t="n">
        <f aca="false">MONTH(A63)</f>
        <v>6</v>
      </c>
      <c r="D63" s="4" t="s">
        <v>39</v>
      </c>
      <c r="E63" s="4" t="s">
        <v>38</v>
      </c>
      <c r="F63" s="7" t="n">
        <v>4892043</v>
      </c>
      <c r="G63" s="7" t="n">
        <v>4826233</v>
      </c>
      <c r="H63" s="8" t="n">
        <f aca="false">IF(F63="","",IF(E63="Revenue",F63-G63,G63-F63))</f>
        <v>65810</v>
      </c>
      <c r="I63" s="9" t="n">
        <f aca="false">IF(OR(F63="",G63=0),"",H63/G63)</f>
        <v>0.0136358936669655</v>
      </c>
    </row>
    <row r="64" customFormat="false" ht="15" hidden="false" customHeight="false" outlineLevel="0" collapsed="false">
      <c r="A64" s="6" t="n">
        <v>45444</v>
      </c>
      <c r="B64" s="4" t="n">
        <f aca="false">YEAR(A64)</f>
        <v>2024</v>
      </c>
      <c r="C64" s="4" t="n">
        <f aca="false">MONTH(A64)</f>
        <v>6</v>
      </c>
      <c r="D64" s="4" t="s">
        <v>40</v>
      </c>
      <c r="E64" s="4" t="s">
        <v>41</v>
      </c>
      <c r="F64" s="7" t="n">
        <v>7380356</v>
      </c>
      <c r="G64" s="7" t="n">
        <v>7480660</v>
      </c>
      <c r="H64" s="8" t="n">
        <f aca="false">IF(F64="","",IF(E64="Revenue",F64-G64,G64-F64))</f>
        <v>100304</v>
      </c>
      <c r="I64" s="9" t="n">
        <f aca="false">IF(OR(F64="",G64=0),"",H64/G64)</f>
        <v>0.0134084425705753</v>
      </c>
    </row>
    <row r="65" customFormat="false" ht="15" hidden="false" customHeight="false" outlineLevel="0" collapsed="false">
      <c r="A65" s="6" t="n">
        <v>45444</v>
      </c>
      <c r="B65" s="4" t="n">
        <f aca="false">YEAR(A65)</f>
        <v>2024</v>
      </c>
      <c r="C65" s="4" t="n">
        <f aca="false">MONTH(A65)</f>
        <v>6</v>
      </c>
      <c r="D65" s="4" t="s">
        <v>42</v>
      </c>
      <c r="E65" s="4" t="s">
        <v>41</v>
      </c>
      <c r="F65" s="7" t="n">
        <v>1613465</v>
      </c>
      <c r="G65" s="7" t="n">
        <v>1576516</v>
      </c>
      <c r="H65" s="8" t="n">
        <f aca="false">IF(F65="","",IF(E65="Revenue",F65-G65,G65-F65))</f>
        <v>-36949</v>
      </c>
      <c r="I65" s="9" t="n">
        <f aca="false">IF(OR(F65="",G65=0),"",H65/G65)</f>
        <v>-0.0234371233783863</v>
      </c>
    </row>
    <row r="66" customFormat="false" ht="15" hidden="false" customHeight="false" outlineLevel="0" collapsed="false">
      <c r="A66" s="6" t="n">
        <v>45444</v>
      </c>
      <c r="B66" s="4" t="n">
        <f aca="false">YEAR(A66)</f>
        <v>2024</v>
      </c>
      <c r="C66" s="4" t="n">
        <f aca="false">MONTH(A66)</f>
        <v>6</v>
      </c>
      <c r="D66" s="4" t="s">
        <v>43</v>
      </c>
      <c r="E66" s="4" t="s">
        <v>44</v>
      </c>
      <c r="F66" s="7" t="n">
        <v>3694000</v>
      </c>
      <c r="G66" s="7" t="n">
        <v>3606267</v>
      </c>
      <c r="H66" s="8" t="n">
        <f aca="false">IF(F66="","",IF(E66="Revenue",F66-G66,G66-F66))</f>
        <v>-87733</v>
      </c>
      <c r="I66" s="9" t="n">
        <f aca="false">IF(OR(F66="",G66=0),"",H66/G66)</f>
        <v>-0.024327926911679</v>
      </c>
    </row>
    <row r="67" customFormat="false" ht="15" hidden="false" customHeight="false" outlineLevel="0" collapsed="false">
      <c r="A67" s="6" t="n">
        <v>45444</v>
      </c>
      <c r="B67" s="4" t="n">
        <f aca="false">YEAR(A67)</f>
        <v>2024</v>
      </c>
      <c r="C67" s="4" t="n">
        <f aca="false">MONTH(A67)</f>
        <v>6</v>
      </c>
      <c r="D67" s="4" t="s">
        <v>45</v>
      </c>
      <c r="E67" s="4" t="s">
        <v>44</v>
      </c>
      <c r="F67" s="7" t="n">
        <v>1317295</v>
      </c>
      <c r="G67" s="7" t="n">
        <v>1261213</v>
      </c>
      <c r="H67" s="8" t="n">
        <f aca="false">IF(F67="","",IF(E67="Revenue",F67-G67,G67-F67))</f>
        <v>-56082</v>
      </c>
      <c r="I67" s="9" t="n">
        <f aca="false">IF(OR(F67="",G67=0),"",H67/G67)</f>
        <v>-0.0444667157728314</v>
      </c>
    </row>
    <row r="68" customFormat="false" ht="15" hidden="false" customHeight="false" outlineLevel="0" collapsed="false">
      <c r="A68" s="6" t="n">
        <v>45444</v>
      </c>
      <c r="B68" s="4" t="n">
        <f aca="false">YEAR(A68)</f>
        <v>2024</v>
      </c>
      <c r="C68" s="4" t="n">
        <f aca="false">MONTH(A68)</f>
        <v>6</v>
      </c>
      <c r="D68" s="4" t="s">
        <v>46</v>
      </c>
      <c r="E68" s="4" t="s">
        <v>44</v>
      </c>
      <c r="F68" s="7" t="n">
        <v>606024</v>
      </c>
      <c r="G68" s="7" t="n">
        <v>606024</v>
      </c>
      <c r="H68" s="8" t="n">
        <f aca="false">IF(F68="","",IF(E68="Revenue",F68-G68,G68-F68))</f>
        <v>0</v>
      </c>
      <c r="I68" s="9" t="n">
        <f aca="false">IF(OR(F68="",G68=0),"",H68/G68)</f>
        <v>0</v>
      </c>
    </row>
    <row r="69" customFormat="false" ht="15" hidden="false" customHeight="false" outlineLevel="0" collapsed="false">
      <c r="A69" s="6" t="n">
        <v>45444</v>
      </c>
      <c r="B69" s="4" t="n">
        <f aca="false">YEAR(A69)</f>
        <v>2024</v>
      </c>
      <c r="C69" s="4" t="n">
        <f aca="false">MONTH(A69)</f>
        <v>6</v>
      </c>
      <c r="D69" s="4" t="s">
        <v>47</v>
      </c>
      <c r="E69" s="4" t="s">
        <v>44</v>
      </c>
      <c r="F69" s="7" t="n">
        <v>484991</v>
      </c>
      <c r="G69" s="7" t="n">
        <v>468291</v>
      </c>
      <c r="H69" s="8" t="n">
        <f aca="false">IF(F69="","",IF(E69="Revenue",F69-G69,G69-F69))</f>
        <v>-16700</v>
      </c>
      <c r="I69" s="9" t="n">
        <f aca="false">IF(OR(F69="",G69=0),"",H69/G69)</f>
        <v>-0.0356615864921598</v>
      </c>
    </row>
    <row r="70" customFormat="false" ht="15" hidden="false" customHeight="false" outlineLevel="0" collapsed="false">
      <c r="A70" s="6" t="n">
        <v>45444</v>
      </c>
      <c r="B70" s="4" t="n">
        <f aca="false">YEAR(A70)</f>
        <v>2024</v>
      </c>
      <c r="C70" s="4" t="n">
        <f aca="false">MONTH(A70)</f>
        <v>6</v>
      </c>
      <c r="D70" s="4" t="s">
        <v>48</v>
      </c>
      <c r="E70" s="4" t="s">
        <v>44</v>
      </c>
      <c r="F70" s="7" t="n">
        <v>270483</v>
      </c>
      <c r="G70" s="7" t="n">
        <v>307576</v>
      </c>
      <c r="H70" s="8" t="n">
        <f aca="false">IF(F70="","",IF(E70="Revenue",F70-G70,G70-F70))</f>
        <v>37093</v>
      </c>
      <c r="I70" s="9" t="n">
        <f aca="false">IF(OR(F70="",G70=0),"",H70/G70)</f>
        <v>0.120597835982001</v>
      </c>
    </row>
    <row r="71" customFormat="false" ht="15" hidden="false" customHeight="false" outlineLevel="0" collapsed="false">
      <c r="A71" s="6" t="n">
        <v>45444</v>
      </c>
      <c r="B71" s="4" t="n">
        <f aca="false">YEAR(A71)</f>
        <v>2024</v>
      </c>
      <c r="C71" s="4" t="n">
        <f aca="false">MONTH(A71)</f>
        <v>6</v>
      </c>
      <c r="D71" s="4" t="s">
        <v>49</v>
      </c>
      <c r="E71" s="4" t="s">
        <v>50</v>
      </c>
      <c r="F71" s="7" t="n">
        <v>406036</v>
      </c>
      <c r="G71" s="7" t="n">
        <v>406036</v>
      </c>
      <c r="H71" s="8" t="n">
        <f aca="false">IF(F71="","",IF(E71="Revenue",F71-G71,G71-F71))</f>
        <v>0</v>
      </c>
      <c r="I71" s="9" t="n">
        <f aca="false">IF(OR(F71="",G71=0),"",H71/G71)</f>
        <v>0</v>
      </c>
    </row>
    <row r="72" customFormat="false" ht="15" hidden="false" customHeight="false" outlineLevel="0" collapsed="false">
      <c r="A72" s="6" t="n">
        <v>45444</v>
      </c>
      <c r="B72" s="4" t="n">
        <f aca="false">YEAR(A72)</f>
        <v>2024</v>
      </c>
      <c r="C72" s="4" t="n">
        <f aca="false">MONTH(A72)</f>
        <v>6</v>
      </c>
      <c r="D72" s="4" t="s">
        <v>51</v>
      </c>
      <c r="E72" s="4" t="s">
        <v>52</v>
      </c>
      <c r="F72" s="7" t="n">
        <v>259376</v>
      </c>
      <c r="G72" s="7" t="n">
        <v>250000</v>
      </c>
      <c r="H72" s="8" t="n">
        <f aca="false">IF(F72="","",IF(E72="Revenue",F72-G72,G72-F72))</f>
        <v>-9376</v>
      </c>
      <c r="I72" s="9" t="n">
        <f aca="false">IF(OR(F72="",G72=0),"",H72/G72)</f>
        <v>-0.037504</v>
      </c>
    </row>
    <row r="73" customFormat="false" ht="15" hidden="false" customHeight="false" outlineLevel="0" collapsed="false">
      <c r="A73" s="6" t="n">
        <v>45444</v>
      </c>
      <c r="B73" s="4" t="n">
        <f aca="false">YEAR(A73)</f>
        <v>2024</v>
      </c>
      <c r="C73" s="4" t="n">
        <f aca="false">MONTH(A73)</f>
        <v>6</v>
      </c>
      <c r="D73" s="4" t="s">
        <v>53</v>
      </c>
      <c r="E73" s="4" t="s">
        <v>54</v>
      </c>
      <c r="F73" s="7" t="n">
        <v>690566</v>
      </c>
      <c r="G73" s="7" t="n">
        <v>835587</v>
      </c>
      <c r="H73" s="8" t="n">
        <f aca="false">IF(F73="","",IF(E73="Revenue",F73-G73,G73-F73))</f>
        <v>145021</v>
      </c>
      <c r="I73" s="9" t="n">
        <f aca="false">IF(OR(F73="",G73=0),"",H73/G73)</f>
        <v>0.173555835598208</v>
      </c>
    </row>
    <row r="74" customFormat="false" ht="15" hidden="false" customHeight="false" outlineLevel="0" collapsed="false">
      <c r="A74" s="6" t="n">
        <v>45474</v>
      </c>
      <c r="B74" s="4" t="n">
        <f aca="false">YEAR(A74)</f>
        <v>2024</v>
      </c>
      <c r="C74" s="4" t="n">
        <f aca="false">MONTH(A74)</f>
        <v>7</v>
      </c>
      <c r="D74" s="4" t="s">
        <v>37</v>
      </c>
      <c r="E74" s="4" t="s">
        <v>38</v>
      </c>
      <c r="F74" s="7" t="n">
        <v>13976939</v>
      </c>
      <c r="G74" s="7" t="n">
        <v>14484927</v>
      </c>
      <c r="H74" s="8" t="n">
        <f aca="false">IF(F74="","",IF(E74="Revenue",F74-G74,G74-F74))</f>
        <v>-507988</v>
      </c>
      <c r="I74" s="9" t="n">
        <f aca="false">IF(OR(F74="",G74=0),"",H74/G74)</f>
        <v>-0.0350701111576192</v>
      </c>
    </row>
    <row r="75" customFormat="false" ht="15" hidden="false" customHeight="false" outlineLevel="0" collapsed="false">
      <c r="A75" s="6" t="n">
        <v>45474</v>
      </c>
      <c r="B75" s="4" t="n">
        <f aca="false">YEAR(A75)</f>
        <v>2024</v>
      </c>
      <c r="C75" s="4" t="n">
        <f aca="false">MONTH(A75)</f>
        <v>7</v>
      </c>
      <c r="D75" s="4" t="s">
        <v>39</v>
      </c>
      <c r="E75" s="4" t="s">
        <v>38</v>
      </c>
      <c r="F75" s="7" t="n">
        <v>4816122</v>
      </c>
      <c r="G75" s="7" t="n">
        <v>4828309</v>
      </c>
      <c r="H75" s="8" t="n">
        <f aca="false">IF(F75="","",IF(E75="Revenue",F75-G75,G75-F75))</f>
        <v>-12187</v>
      </c>
      <c r="I75" s="9" t="n">
        <f aca="false">IF(OR(F75="",G75=0),"",H75/G75)</f>
        <v>-0.00252407209232052</v>
      </c>
    </row>
    <row r="76" customFormat="false" ht="15" hidden="false" customHeight="false" outlineLevel="0" collapsed="false">
      <c r="A76" s="6" t="n">
        <v>45474</v>
      </c>
      <c r="B76" s="4" t="n">
        <f aca="false">YEAR(A76)</f>
        <v>2024</v>
      </c>
      <c r="C76" s="4" t="n">
        <f aca="false">MONTH(A76)</f>
        <v>7</v>
      </c>
      <c r="D76" s="4" t="s">
        <v>40</v>
      </c>
      <c r="E76" s="4" t="s">
        <v>41</v>
      </c>
      <c r="F76" s="7" t="n">
        <v>7430840</v>
      </c>
      <c r="G76" s="7" t="n">
        <v>7483880</v>
      </c>
      <c r="H76" s="8" t="n">
        <f aca="false">IF(F76="","",IF(E76="Revenue",F76-G76,G76-F76))</f>
        <v>53040</v>
      </c>
      <c r="I76" s="9" t="n">
        <f aca="false">IF(OR(F76="",G76=0),"",H76/G76)</f>
        <v>0.00708723282575349</v>
      </c>
    </row>
    <row r="77" customFormat="false" ht="15" hidden="false" customHeight="false" outlineLevel="0" collapsed="false">
      <c r="A77" s="6" t="n">
        <v>45474</v>
      </c>
      <c r="B77" s="4" t="n">
        <f aca="false">YEAR(A77)</f>
        <v>2024</v>
      </c>
      <c r="C77" s="4" t="n">
        <f aca="false">MONTH(A77)</f>
        <v>7</v>
      </c>
      <c r="D77" s="4" t="s">
        <v>42</v>
      </c>
      <c r="E77" s="4" t="s">
        <v>41</v>
      </c>
      <c r="F77" s="7" t="n">
        <v>1632741</v>
      </c>
      <c r="G77" s="7" t="n">
        <v>1592280</v>
      </c>
      <c r="H77" s="8" t="n">
        <f aca="false">IF(F77="","",IF(E77="Revenue",F77-G77,G77-F77))</f>
        <v>-40461</v>
      </c>
      <c r="I77" s="9" t="n">
        <f aca="false">IF(OR(F77="",G77=0),"",H77/G77)</f>
        <v>-0.0254107317808426</v>
      </c>
    </row>
    <row r="78" customFormat="false" ht="15" hidden="false" customHeight="false" outlineLevel="0" collapsed="false">
      <c r="A78" s="6" t="n">
        <v>45474</v>
      </c>
      <c r="B78" s="4" t="n">
        <f aca="false">YEAR(A78)</f>
        <v>2024</v>
      </c>
      <c r="C78" s="4" t="n">
        <f aca="false">MONTH(A78)</f>
        <v>7</v>
      </c>
      <c r="D78" s="4" t="s">
        <v>43</v>
      </c>
      <c r="E78" s="4" t="s">
        <v>44</v>
      </c>
      <c r="F78" s="7" t="n">
        <v>3716093</v>
      </c>
      <c r="G78" s="7" t="n">
        <v>3627906</v>
      </c>
      <c r="H78" s="8" t="n">
        <f aca="false">IF(F78="","",IF(E78="Revenue",F78-G78,G78-F78))</f>
        <v>-88187</v>
      </c>
      <c r="I78" s="9" t="n">
        <f aca="false">IF(OR(F78="",G78=0),"",H78/G78)</f>
        <v>-0.0243079616726563</v>
      </c>
    </row>
    <row r="79" customFormat="false" ht="15" hidden="false" customHeight="false" outlineLevel="0" collapsed="false">
      <c r="A79" s="6" t="n">
        <v>45474</v>
      </c>
      <c r="B79" s="4" t="n">
        <f aca="false">YEAR(A79)</f>
        <v>2024</v>
      </c>
      <c r="C79" s="4" t="n">
        <f aca="false">MONTH(A79)</f>
        <v>7</v>
      </c>
      <c r="D79" s="4" t="s">
        <v>45</v>
      </c>
      <c r="E79" s="4" t="s">
        <v>44</v>
      </c>
      <c r="F79" s="7" t="n">
        <v>1336129</v>
      </c>
      <c r="G79" s="7" t="n">
        <v>1273824</v>
      </c>
      <c r="H79" s="8" t="n">
        <f aca="false">IF(F79="","",IF(E79="Revenue",F79-G79,G79-F79))</f>
        <v>-62305</v>
      </c>
      <c r="I79" s="9" t="n">
        <f aca="false">IF(OR(F79="",G79=0),"",H79/G79)</f>
        <v>-0.0489117805913533</v>
      </c>
    </row>
    <row r="80" customFormat="false" ht="15" hidden="false" customHeight="false" outlineLevel="0" collapsed="false">
      <c r="A80" s="6" t="n">
        <v>45474</v>
      </c>
      <c r="B80" s="4" t="n">
        <f aca="false">YEAR(A80)</f>
        <v>2024</v>
      </c>
      <c r="C80" s="4" t="n">
        <f aca="false">MONTH(A80)</f>
        <v>7</v>
      </c>
      <c r="D80" s="4" t="s">
        <v>46</v>
      </c>
      <c r="E80" s="4" t="s">
        <v>44</v>
      </c>
      <c r="F80" s="7" t="n">
        <v>607236</v>
      </c>
      <c r="G80" s="7" t="n">
        <v>607236</v>
      </c>
      <c r="H80" s="8" t="n">
        <f aca="false">IF(F80="","",IF(E80="Revenue",F80-G80,G80-F80))</f>
        <v>0</v>
      </c>
      <c r="I80" s="9" t="n">
        <f aca="false">IF(OR(F80="",G80=0),"",H80/G80)</f>
        <v>0</v>
      </c>
    </row>
    <row r="81" customFormat="false" ht="15" hidden="false" customHeight="false" outlineLevel="0" collapsed="false">
      <c r="A81" s="6" t="n">
        <v>45474</v>
      </c>
      <c r="B81" s="4" t="n">
        <f aca="false">YEAR(A81)</f>
        <v>2024</v>
      </c>
      <c r="C81" s="4" t="n">
        <f aca="false">MONTH(A81)</f>
        <v>7</v>
      </c>
      <c r="D81" s="4" t="s">
        <v>47</v>
      </c>
      <c r="E81" s="4" t="s">
        <v>44</v>
      </c>
      <c r="F81" s="7" t="n">
        <v>489504</v>
      </c>
      <c r="G81" s="7" t="n">
        <v>472036</v>
      </c>
      <c r="H81" s="8" t="n">
        <f aca="false">IF(F81="","",IF(E81="Revenue",F81-G81,G81-F81))</f>
        <v>-17468</v>
      </c>
      <c r="I81" s="9" t="n">
        <f aca="false">IF(OR(F81="",G81=0),"",H81/G81)</f>
        <v>-0.0370056521112796</v>
      </c>
    </row>
    <row r="82" customFormat="false" ht="15" hidden="false" customHeight="false" outlineLevel="0" collapsed="false">
      <c r="A82" s="6" t="n">
        <v>45474</v>
      </c>
      <c r="B82" s="4" t="n">
        <f aca="false">YEAR(A82)</f>
        <v>2024</v>
      </c>
      <c r="C82" s="4" t="n">
        <f aca="false">MONTH(A82)</f>
        <v>7</v>
      </c>
      <c r="D82" s="4" t="s">
        <v>48</v>
      </c>
      <c r="E82" s="4" t="s">
        <v>44</v>
      </c>
      <c r="F82" s="7" t="n">
        <v>272336</v>
      </c>
      <c r="G82" s="7" t="n">
        <v>309113</v>
      </c>
      <c r="H82" s="8" t="n">
        <f aca="false">IF(F82="","",IF(E82="Revenue",F82-G82,G82-F82))</f>
        <v>36777</v>
      </c>
      <c r="I82" s="9" t="n">
        <f aca="false">IF(OR(F82="",G82=0),"",H82/G82)</f>
        <v>0.118975908486541</v>
      </c>
    </row>
    <row r="83" customFormat="false" ht="15" hidden="false" customHeight="false" outlineLevel="0" collapsed="false">
      <c r="A83" s="6" t="n">
        <v>45474</v>
      </c>
      <c r="B83" s="4" t="n">
        <f aca="false">YEAR(A83)</f>
        <v>2024</v>
      </c>
      <c r="C83" s="4" t="n">
        <f aca="false">MONTH(A83)</f>
        <v>7</v>
      </c>
      <c r="D83" s="4" t="s">
        <v>49</v>
      </c>
      <c r="E83" s="4" t="s">
        <v>50</v>
      </c>
      <c r="F83" s="7" t="n">
        <v>407254</v>
      </c>
      <c r="G83" s="7" t="n">
        <v>407254</v>
      </c>
      <c r="H83" s="8" t="n">
        <f aca="false">IF(F83="","",IF(E83="Revenue",F83-G83,G83-F83))</f>
        <v>0</v>
      </c>
      <c r="I83" s="9" t="n">
        <f aca="false">IF(OR(F83="",G83=0),"",H83/G83)</f>
        <v>0</v>
      </c>
    </row>
    <row r="84" customFormat="false" ht="15" hidden="false" customHeight="false" outlineLevel="0" collapsed="false">
      <c r="A84" s="6" t="n">
        <v>45474</v>
      </c>
      <c r="B84" s="4" t="n">
        <f aca="false">YEAR(A84)</f>
        <v>2024</v>
      </c>
      <c r="C84" s="4" t="n">
        <f aca="false">MONTH(A84)</f>
        <v>7</v>
      </c>
      <c r="D84" s="4" t="s">
        <v>51</v>
      </c>
      <c r="E84" s="4" t="s">
        <v>52</v>
      </c>
      <c r="F84" s="7" t="n">
        <v>259751</v>
      </c>
      <c r="G84" s="7" t="n">
        <v>250000</v>
      </c>
      <c r="H84" s="8" t="n">
        <f aca="false">IF(F84="","",IF(E84="Revenue",F84-G84,G84-F84))</f>
        <v>-9751</v>
      </c>
      <c r="I84" s="9" t="n">
        <f aca="false">IF(OR(F84="",G84=0),"",H84/G84)</f>
        <v>-0.039004</v>
      </c>
    </row>
    <row r="85" customFormat="false" ht="15" hidden="false" customHeight="false" outlineLevel="0" collapsed="false">
      <c r="A85" s="6" t="n">
        <v>45474</v>
      </c>
      <c r="B85" s="4" t="n">
        <f aca="false">YEAR(A85)</f>
        <v>2024</v>
      </c>
      <c r="C85" s="4" t="n">
        <f aca="false">MONTH(A85)</f>
        <v>7</v>
      </c>
      <c r="D85" s="4" t="s">
        <v>53</v>
      </c>
      <c r="E85" s="4" t="s">
        <v>54</v>
      </c>
      <c r="F85" s="7" t="n">
        <v>660294</v>
      </c>
      <c r="G85" s="7" t="n">
        <v>822427</v>
      </c>
      <c r="H85" s="8" t="n">
        <f aca="false">IF(F85="","",IF(E85="Revenue",F85-G85,G85-F85))</f>
        <v>162133</v>
      </c>
      <c r="I85" s="9" t="n">
        <f aca="false">IF(OR(F85="",G85=0),"",H85/G85)</f>
        <v>0.197139685345933</v>
      </c>
    </row>
    <row r="86" customFormat="false" ht="15" hidden="false" customHeight="false" outlineLevel="0" collapsed="false">
      <c r="A86" s="6" t="n">
        <v>45505</v>
      </c>
      <c r="B86" s="4" t="n">
        <f aca="false">YEAR(A86)</f>
        <v>2024</v>
      </c>
      <c r="C86" s="4" t="n">
        <f aca="false">MONTH(A86)</f>
        <v>8</v>
      </c>
      <c r="D86" s="4" t="s">
        <v>37</v>
      </c>
      <c r="E86" s="4" t="s">
        <v>38</v>
      </c>
      <c r="F86" s="7" t="n">
        <v>13508412</v>
      </c>
      <c r="G86" s="7" t="n">
        <v>14117227</v>
      </c>
      <c r="H86" s="8" t="n">
        <f aca="false">IF(F86="","",IF(E86="Revenue",F86-G86,G86-F86))</f>
        <v>-608815</v>
      </c>
      <c r="I86" s="9" t="n">
        <f aca="false">IF(OR(F86="",G86=0),"",H86/G86)</f>
        <v>-0.043125679001974</v>
      </c>
    </row>
    <row r="87" customFormat="false" ht="15" hidden="false" customHeight="false" outlineLevel="0" collapsed="false">
      <c r="A87" s="6" t="n">
        <v>45505</v>
      </c>
      <c r="B87" s="4" t="n">
        <f aca="false">YEAR(A87)</f>
        <v>2024</v>
      </c>
      <c r="C87" s="4" t="n">
        <f aca="false">MONTH(A87)</f>
        <v>8</v>
      </c>
      <c r="D87" s="4" t="s">
        <v>39</v>
      </c>
      <c r="E87" s="4" t="s">
        <v>38</v>
      </c>
      <c r="F87" s="7" t="n">
        <v>4837401</v>
      </c>
      <c r="G87" s="7" t="n">
        <v>4705743</v>
      </c>
      <c r="H87" s="8" t="n">
        <f aca="false">IF(F87="","",IF(E87="Revenue",F87-G87,G87-F87))</f>
        <v>131658</v>
      </c>
      <c r="I87" s="9" t="n">
        <f aca="false">IF(OR(F87="",G87=0),"",H87/G87)</f>
        <v>0.0279781535030706</v>
      </c>
    </row>
    <row r="88" customFormat="false" ht="15" hidden="false" customHeight="false" outlineLevel="0" collapsed="false">
      <c r="A88" s="6" t="n">
        <v>45505</v>
      </c>
      <c r="B88" s="4" t="n">
        <f aca="false">YEAR(A88)</f>
        <v>2024</v>
      </c>
      <c r="C88" s="4" t="n">
        <f aca="false">MONTH(A88)</f>
        <v>8</v>
      </c>
      <c r="D88" s="4" t="s">
        <v>40</v>
      </c>
      <c r="E88" s="4" t="s">
        <v>41</v>
      </c>
      <c r="F88" s="7" t="n">
        <v>7192217</v>
      </c>
      <c r="G88" s="7" t="n">
        <v>7293900</v>
      </c>
      <c r="H88" s="8" t="n">
        <f aca="false">IF(F88="","",IF(E88="Revenue",F88-G88,G88-F88))</f>
        <v>101683</v>
      </c>
      <c r="I88" s="9" t="n">
        <f aca="false">IF(OR(F88="",G88=0),"",H88/G88)</f>
        <v>0.0139408272666201</v>
      </c>
    </row>
    <row r="89" customFormat="false" ht="15" hidden="false" customHeight="false" outlineLevel="0" collapsed="false">
      <c r="A89" s="6" t="n">
        <v>45505</v>
      </c>
      <c r="B89" s="4" t="n">
        <f aca="false">YEAR(A89)</f>
        <v>2024</v>
      </c>
      <c r="C89" s="4" t="n">
        <f aca="false">MONTH(A89)</f>
        <v>8</v>
      </c>
      <c r="D89" s="4" t="s">
        <v>42</v>
      </c>
      <c r="E89" s="4" t="s">
        <v>41</v>
      </c>
      <c r="F89" s="7" t="n">
        <v>1643680</v>
      </c>
      <c r="G89" s="7" t="n">
        <v>1608203</v>
      </c>
      <c r="H89" s="8" t="n">
        <f aca="false">IF(F89="","",IF(E89="Revenue",F89-G89,G89-F89))</f>
        <v>-35477</v>
      </c>
      <c r="I89" s="9" t="n">
        <f aca="false">IF(OR(F89="",G89=0),"",H89/G89)</f>
        <v>-0.0220600260041798</v>
      </c>
    </row>
    <row r="90" customFormat="false" ht="15" hidden="false" customHeight="false" outlineLevel="0" collapsed="false">
      <c r="A90" s="6" t="n">
        <v>45505</v>
      </c>
      <c r="B90" s="4" t="n">
        <f aca="false">YEAR(A90)</f>
        <v>2024</v>
      </c>
      <c r="C90" s="4" t="n">
        <f aca="false">MONTH(A90)</f>
        <v>8</v>
      </c>
      <c r="D90" s="4" t="s">
        <v>43</v>
      </c>
      <c r="E90" s="4" t="s">
        <v>44</v>
      </c>
      <c r="F90" s="7" t="n">
        <v>3743030</v>
      </c>
      <c r="G90" s="7" t="n">
        <v>3649673</v>
      </c>
      <c r="H90" s="8" t="n">
        <f aca="false">IF(F90="","",IF(E90="Revenue",F90-G90,G90-F90))</f>
        <v>-93357</v>
      </c>
      <c r="I90" s="9" t="n">
        <f aca="false">IF(OR(F90="",G90=0),"",H90/G90)</f>
        <v>-0.0255795519215009</v>
      </c>
    </row>
    <row r="91" customFormat="false" ht="15" hidden="false" customHeight="false" outlineLevel="0" collapsed="false">
      <c r="A91" s="6" t="n">
        <v>45505</v>
      </c>
      <c r="B91" s="4" t="n">
        <f aca="false">YEAR(A91)</f>
        <v>2024</v>
      </c>
      <c r="C91" s="4" t="n">
        <f aca="false">MONTH(A91)</f>
        <v>8</v>
      </c>
      <c r="D91" s="4" t="s">
        <v>45</v>
      </c>
      <c r="E91" s="4" t="s">
        <v>44</v>
      </c>
      <c r="F91" s="7" t="n">
        <v>1352663</v>
      </c>
      <c r="G91" s="7" t="n">
        <v>1286563</v>
      </c>
      <c r="H91" s="8" t="n">
        <f aca="false">IF(F91="","",IF(E91="Revenue",F91-G91,G91-F91))</f>
        <v>-66100</v>
      </c>
      <c r="I91" s="9" t="n">
        <f aca="false">IF(OR(F91="",G91=0),"",H91/G91)</f>
        <v>-0.0513771964528748</v>
      </c>
    </row>
    <row r="92" customFormat="false" ht="15" hidden="false" customHeight="false" outlineLevel="0" collapsed="false">
      <c r="A92" s="6" t="n">
        <v>45505</v>
      </c>
      <c r="B92" s="4" t="n">
        <f aca="false">YEAR(A92)</f>
        <v>2024</v>
      </c>
      <c r="C92" s="4" t="n">
        <f aca="false">MONTH(A92)</f>
        <v>8</v>
      </c>
      <c r="D92" s="4" t="s">
        <v>46</v>
      </c>
      <c r="E92" s="4" t="s">
        <v>44</v>
      </c>
      <c r="F92" s="7" t="n">
        <v>608451</v>
      </c>
      <c r="G92" s="7" t="n">
        <v>608451</v>
      </c>
      <c r="H92" s="8" t="n">
        <f aca="false">IF(F92="","",IF(E92="Revenue",F92-G92,G92-F92))</f>
        <v>0</v>
      </c>
      <c r="I92" s="9" t="n">
        <f aca="false">IF(OR(F92="",G92=0),"",H92/G92)</f>
        <v>0</v>
      </c>
    </row>
    <row r="93" customFormat="false" ht="15" hidden="false" customHeight="false" outlineLevel="0" collapsed="false">
      <c r="A93" s="6" t="n">
        <v>45505</v>
      </c>
      <c r="B93" s="4" t="n">
        <f aca="false">YEAR(A93)</f>
        <v>2024</v>
      </c>
      <c r="C93" s="4" t="n">
        <f aca="false">MONTH(A93)</f>
        <v>8</v>
      </c>
      <c r="D93" s="4" t="s">
        <v>47</v>
      </c>
      <c r="E93" s="4" t="s">
        <v>44</v>
      </c>
      <c r="F93" s="7" t="n">
        <v>495302</v>
      </c>
      <c r="G93" s="7" t="n">
        <v>475813</v>
      </c>
      <c r="H93" s="8" t="n">
        <f aca="false">IF(F93="","",IF(E93="Revenue",F93-G93,G93-F93))</f>
        <v>-19489</v>
      </c>
      <c r="I93" s="9" t="n">
        <f aca="false">IF(OR(F93="",G93=0),"",H93/G93)</f>
        <v>-0.0409593684914031</v>
      </c>
    </row>
    <row r="94" customFormat="false" ht="15" hidden="false" customHeight="false" outlineLevel="0" collapsed="false">
      <c r="A94" s="6" t="n">
        <v>45505</v>
      </c>
      <c r="B94" s="4" t="n">
        <f aca="false">YEAR(A94)</f>
        <v>2024</v>
      </c>
      <c r="C94" s="4" t="n">
        <f aca="false">MONTH(A94)</f>
        <v>8</v>
      </c>
      <c r="D94" s="4" t="s">
        <v>48</v>
      </c>
      <c r="E94" s="4" t="s">
        <v>44</v>
      </c>
      <c r="F94" s="7" t="n">
        <v>273511</v>
      </c>
      <c r="G94" s="7" t="n">
        <v>310660</v>
      </c>
      <c r="H94" s="8" t="n">
        <f aca="false">IF(F94="","",IF(E94="Revenue",F94-G94,G94-F94))</f>
        <v>37149</v>
      </c>
      <c r="I94" s="9" t="n">
        <f aca="false">IF(OR(F94="",G94=0),"",H94/G94)</f>
        <v>0.119580892293826</v>
      </c>
    </row>
    <row r="95" customFormat="false" ht="15" hidden="false" customHeight="false" outlineLevel="0" collapsed="false">
      <c r="A95" s="6" t="n">
        <v>45505</v>
      </c>
      <c r="B95" s="4" t="n">
        <f aca="false">YEAR(A95)</f>
        <v>2024</v>
      </c>
      <c r="C95" s="4" t="n">
        <f aca="false">MONTH(A95)</f>
        <v>8</v>
      </c>
      <c r="D95" s="4" t="s">
        <v>49</v>
      </c>
      <c r="E95" s="4" t="s">
        <v>50</v>
      </c>
      <c r="F95" s="7" t="n">
        <v>408476</v>
      </c>
      <c r="G95" s="7" t="n">
        <v>408476</v>
      </c>
      <c r="H95" s="8" t="n">
        <f aca="false">IF(F95="","",IF(E95="Revenue",F95-G95,G95-F95))</f>
        <v>0</v>
      </c>
      <c r="I95" s="9" t="n">
        <f aca="false">IF(OR(F95="",G95=0),"",H95/G95)</f>
        <v>0</v>
      </c>
    </row>
    <row r="96" customFormat="false" ht="15" hidden="false" customHeight="false" outlineLevel="0" collapsed="false">
      <c r="A96" s="6" t="n">
        <v>45505</v>
      </c>
      <c r="B96" s="4" t="n">
        <f aca="false">YEAR(A96)</f>
        <v>2024</v>
      </c>
      <c r="C96" s="4" t="n">
        <f aca="false">MONTH(A96)</f>
        <v>8</v>
      </c>
      <c r="D96" s="4" t="s">
        <v>51</v>
      </c>
      <c r="E96" s="4" t="s">
        <v>52</v>
      </c>
      <c r="F96" s="7" t="n">
        <v>260126</v>
      </c>
      <c r="G96" s="7" t="n">
        <v>250000</v>
      </c>
      <c r="H96" s="8" t="n">
        <f aca="false">IF(F96="","",IF(E96="Revenue",F96-G96,G96-F96))</f>
        <v>-10126</v>
      </c>
      <c r="I96" s="9" t="n">
        <f aca="false">IF(OR(F96="",G96=0),"",H96/G96)</f>
        <v>-0.040504</v>
      </c>
    </row>
    <row r="97" customFormat="false" ht="15" hidden="false" customHeight="false" outlineLevel="0" collapsed="false">
      <c r="A97" s="6" t="n">
        <v>45505</v>
      </c>
      <c r="B97" s="4" t="n">
        <f aca="false">YEAR(A97)</f>
        <v>2024</v>
      </c>
      <c r="C97" s="4" t="n">
        <f aca="false">MONTH(A97)</f>
        <v>8</v>
      </c>
      <c r="D97" s="4" t="s">
        <v>53</v>
      </c>
      <c r="E97" s="4" t="s">
        <v>54</v>
      </c>
      <c r="F97" s="7" t="n">
        <v>592090</v>
      </c>
      <c r="G97" s="7" t="n">
        <v>732807</v>
      </c>
      <c r="H97" s="8" t="n">
        <f aca="false">IF(F97="","",IF(E97="Revenue",F97-G97,G97-F97))</f>
        <v>140717</v>
      </c>
      <c r="I97" s="9" t="n">
        <f aca="false">IF(OR(F97="",G97=0),"",H97/G97)</f>
        <v>0.192024639502625</v>
      </c>
    </row>
    <row r="98" customFormat="false" ht="15" hidden="false" customHeight="false" outlineLevel="0" collapsed="false">
      <c r="A98" s="6" t="n">
        <v>45536</v>
      </c>
      <c r="B98" s="4" t="n">
        <f aca="false">YEAR(A98)</f>
        <v>2024</v>
      </c>
      <c r="C98" s="4" t="n">
        <f aca="false">MONTH(A98)</f>
        <v>9</v>
      </c>
      <c r="D98" s="4" t="s">
        <v>37</v>
      </c>
      <c r="E98" s="4" t="s">
        <v>38</v>
      </c>
      <c r="F98" s="7" t="n">
        <v>12678178</v>
      </c>
      <c r="G98" s="7" t="n">
        <v>13517911</v>
      </c>
      <c r="H98" s="8" t="n">
        <f aca="false">IF(F98="","",IF(E98="Revenue",F98-G98,G98-F98))</f>
        <v>-839733</v>
      </c>
      <c r="I98" s="9" t="n">
        <f aca="false">IF(OR(F98="",G98=0),"",H98/G98)</f>
        <v>-0.0621200272734448</v>
      </c>
    </row>
    <row r="99" customFormat="false" ht="15" hidden="false" customHeight="false" outlineLevel="0" collapsed="false">
      <c r="A99" s="6" t="n">
        <v>45536</v>
      </c>
      <c r="B99" s="4" t="n">
        <f aca="false">YEAR(A99)</f>
        <v>2024</v>
      </c>
      <c r="C99" s="4" t="n">
        <f aca="false">MONTH(A99)</f>
        <v>9</v>
      </c>
      <c r="D99" s="4" t="s">
        <v>39</v>
      </c>
      <c r="E99" s="4" t="s">
        <v>38</v>
      </c>
      <c r="F99" s="7" t="n">
        <v>4559222</v>
      </c>
      <c r="G99" s="7" t="n">
        <v>4505971</v>
      </c>
      <c r="H99" s="8" t="n">
        <f aca="false">IF(F99="","",IF(E99="Revenue",F99-G99,G99-F99))</f>
        <v>53251</v>
      </c>
      <c r="I99" s="9" t="n">
        <f aca="false">IF(OR(F99="",G99=0),"",H99/G99)</f>
        <v>0.011817874549126</v>
      </c>
    </row>
    <row r="100" customFormat="false" ht="15" hidden="false" customHeight="false" outlineLevel="0" collapsed="false">
      <c r="A100" s="6" t="n">
        <v>45536</v>
      </c>
      <c r="B100" s="4" t="n">
        <f aca="false">YEAR(A100)</f>
        <v>2024</v>
      </c>
      <c r="C100" s="4" t="n">
        <f aca="false">MONTH(A100)</f>
        <v>9</v>
      </c>
      <c r="D100" s="4" t="s">
        <v>40</v>
      </c>
      <c r="E100" s="4" t="s">
        <v>41</v>
      </c>
      <c r="F100" s="7" t="n">
        <v>6760005</v>
      </c>
      <c r="G100" s="7" t="n">
        <v>6984254</v>
      </c>
      <c r="H100" s="8" t="n">
        <f aca="false">IF(F100="","",IF(E100="Revenue",F100-G100,G100-F100))</f>
        <v>224249</v>
      </c>
      <c r="I100" s="9" t="n">
        <f aca="false">IF(OR(F100="",G100=0),"",H100/G100)</f>
        <v>0.0321077956214078</v>
      </c>
    </row>
    <row r="101" customFormat="false" ht="15" hidden="false" customHeight="false" outlineLevel="0" collapsed="false">
      <c r="A101" s="6" t="n">
        <v>45536</v>
      </c>
      <c r="B101" s="4" t="n">
        <f aca="false">YEAR(A101)</f>
        <v>2024</v>
      </c>
      <c r="C101" s="4" t="n">
        <f aca="false">MONTH(A101)</f>
        <v>9</v>
      </c>
      <c r="D101" s="4" t="s">
        <v>42</v>
      </c>
      <c r="E101" s="4" t="s">
        <v>41</v>
      </c>
      <c r="F101" s="7" t="n">
        <v>1647282</v>
      </c>
      <c r="G101" s="7" t="n">
        <v>1624286</v>
      </c>
      <c r="H101" s="8" t="n">
        <f aca="false">IF(F101="","",IF(E101="Revenue",F101-G101,G101-F101))</f>
        <v>-22996</v>
      </c>
      <c r="I101" s="9" t="n">
        <f aca="false">IF(OR(F101="",G101=0),"",H101/G101)</f>
        <v>-0.0141576052493219</v>
      </c>
    </row>
    <row r="102" customFormat="false" ht="15" hidden="false" customHeight="false" outlineLevel="0" collapsed="false">
      <c r="A102" s="6" t="n">
        <v>45536</v>
      </c>
      <c r="B102" s="4" t="n">
        <f aca="false">YEAR(A102)</f>
        <v>2024</v>
      </c>
      <c r="C102" s="4" t="n">
        <f aca="false">MONTH(A102)</f>
        <v>9</v>
      </c>
      <c r="D102" s="4" t="s">
        <v>43</v>
      </c>
      <c r="E102" s="4" t="s">
        <v>44</v>
      </c>
      <c r="F102" s="7" t="n">
        <v>3769367</v>
      </c>
      <c r="G102" s="7" t="n">
        <v>3671571</v>
      </c>
      <c r="H102" s="8" t="n">
        <f aca="false">IF(F102="","",IF(E102="Revenue",F102-G102,G102-F102))</f>
        <v>-97796</v>
      </c>
      <c r="I102" s="9" t="n">
        <f aca="false">IF(OR(F102="",G102=0),"",H102/G102)</f>
        <v>-0.0266360094902155</v>
      </c>
    </row>
    <row r="103" customFormat="false" ht="15" hidden="false" customHeight="false" outlineLevel="0" collapsed="false">
      <c r="A103" s="6" t="n">
        <v>45536</v>
      </c>
      <c r="B103" s="4" t="n">
        <f aca="false">YEAR(A103)</f>
        <v>2024</v>
      </c>
      <c r="C103" s="4" t="n">
        <f aca="false">MONTH(A103)</f>
        <v>9</v>
      </c>
      <c r="D103" s="4" t="s">
        <v>45</v>
      </c>
      <c r="E103" s="4" t="s">
        <v>44</v>
      </c>
      <c r="F103" s="7" t="n">
        <v>1366804</v>
      </c>
      <c r="G103" s="7" t="n">
        <v>1299427</v>
      </c>
      <c r="H103" s="8" t="n">
        <f aca="false">IF(F103="","",IF(E103="Revenue",F103-G103,G103-F103))</f>
        <v>-67377</v>
      </c>
      <c r="I103" s="9" t="n">
        <f aca="false">IF(OR(F103="",G103=0),"",H103/G103)</f>
        <v>-0.0518513160031306</v>
      </c>
    </row>
    <row r="104" customFormat="false" ht="15" hidden="false" customHeight="false" outlineLevel="0" collapsed="false">
      <c r="A104" s="6" t="n">
        <v>45536</v>
      </c>
      <c r="B104" s="4" t="n">
        <f aca="false">YEAR(A104)</f>
        <v>2024</v>
      </c>
      <c r="C104" s="4" t="n">
        <f aca="false">MONTH(A104)</f>
        <v>9</v>
      </c>
      <c r="D104" s="4" t="s">
        <v>46</v>
      </c>
      <c r="E104" s="4" t="s">
        <v>44</v>
      </c>
      <c r="F104" s="7" t="n">
        <v>609667</v>
      </c>
      <c r="G104" s="7" t="n">
        <v>609667</v>
      </c>
      <c r="H104" s="8" t="n">
        <f aca="false">IF(F104="","",IF(E104="Revenue",F104-G104,G104-F104))</f>
        <v>0</v>
      </c>
      <c r="I104" s="9" t="n">
        <f aca="false">IF(OR(F104="",G104=0),"",H104/G104)</f>
        <v>0</v>
      </c>
    </row>
    <row r="105" customFormat="false" ht="15" hidden="false" customHeight="false" outlineLevel="0" collapsed="false">
      <c r="A105" s="6" t="n">
        <v>45536</v>
      </c>
      <c r="B105" s="4" t="n">
        <f aca="false">YEAR(A105)</f>
        <v>2024</v>
      </c>
      <c r="C105" s="4" t="n">
        <f aca="false">MONTH(A105)</f>
        <v>9</v>
      </c>
      <c r="D105" s="4" t="s">
        <v>47</v>
      </c>
      <c r="E105" s="4" t="s">
        <v>44</v>
      </c>
      <c r="F105" s="7" t="n">
        <v>500952</v>
      </c>
      <c r="G105" s="7" t="n">
        <v>479620</v>
      </c>
      <c r="H105" s="8" t="n">
        <f aca="false">IF(F105="","",IF(E105="Revenue",F105-G105,G105-F105))</f>
        <v>-21332</v>
      </c>
      <c r="I105" s="9" t="n">
        <f aca="false">IF(OR(F105="",G105=0),"",H105/G105)</f>
        <v>-0.044476877528043</v>
      </c>
    </row>
    <row r="106" customFormat="false" ht="15" hidden="false" customHeight="false" outlineLevel="0" collapsed="false">
      <c r="A106" s="6" t="n">
        <v>45536</v>
      </c>
      <c r="B106" s="4" t="n">
        <f aca="false">YEAR(A106)</f>
        <v>2024</v>
      </c>
      <c r="C106" s="4" t="n">
        <f aca="false">MONTH(A106)</f>
        <v>9</v>
      </c>
      <c r="D106" s="4" t="s">
        <v>48</v>
      </c>
      <c r="E106" s="4" t="s">
        <v>44</v>
      </c>
      <c r="F106" s="7" t="n">
        <v>274000</v>
      </c>
      <c r="G106" s="7" t="n">
        <v>312213</v>
      </c>
      <c r="H106" s="8" t="n">
        <f aca="false">IF(F106="","",IF(E106="Revenue",F106-G106,G106-F106))</f>
        <v>38213</v>
      </c>
      <c r="I106" s="9" t="n">
        <f aca="false">IF(OR(F106="",G106=0),"",H106/G106)</f>
        <v>0.122394006655713</v>
      </c>
    </row>
    <row r="107" customFormat="false" ht="15" hidden="false" customHeight="false" outlineLevel="0" collapsed="false">
      <c r="A107" s="6" t="n">
        <v>45536</v>
      </c>
      <c r="B107" s="4" t="n">
        <f aca="false">YEAR(A107)</f>
        <v>2024</v>
      </c>
      <c r="C107" s="4" t="n">
        <f aca="false">MONTH(A107)</f>
        <v>9</v>
      </c>
      <c r="D107" s="4" t="s">
        <v>49</v>
      </c>
      <c r="E107" s="4" t="s">
        <v>50</v>
      </c>
      <c r="F107" s="7" t="n">
        <v>409700</v>
      </c>
      <c r="G107" s="7" t="n">
        <v>409700</v>
      </c>
      <c r="H107" s="8" t="n">
        <f aca="false">IF(F107="","",IF(E107="Revenue",F107-G107,G107-F107))</f>
        <v>0</v>
      </c>
      <c r="I107" s="9" t="n">
        <f aca="false">IF(OR(F107="",G107=0),"",H107/G107)</f>
        <v>0</v>
      </c>
    </row>
    <row r="108" customFormat="false" ht="15" hidden="false" customHeight="false" outlineLevel="0" collapsed="false">
      <c r="A108" s="6" t="n">
        <v>45536</v>
      </c>
      <c r="B108" s="4" t="n">
        <f aca="false">YEAR(A108)</f>
        <v>2024</v>
      </c>
      <c r="C108" s="4" t="n">
        <f aca="false">MONTH(A108)</f>
        <v>9</v>
      </c>
      <c r="D108" s="4" t="s">
        <v>51</v>
      </c>
      <c r="E108" s="4" t="s">
        <v>52</v>
      </c>
      <c r="F108" s="7" t="n">
        <v>260500</v>
      </c>
      <c r="G108" s="7" t="n">
        <v>250000</v>
      </c>
      <c r="H108" s="8" t="n">
        <f aca="false">IF(F108="","",IF(E108="Revenue",F108-G108,G108-F108))</f>
        <v>-10500</v>
      </c>
      <c r="I108" s="9" t="n">
        <f aca="false">IF(OR(F108="",G108=0),"",H108/G108)</f>
        <v>-0.042</v>
      </c>
    </row>
    <row r="109" customFormat="false" ht="15" hidden="false" customHeight="false" outlineLevel="0" collapsed="false">
      <c r="A109" s="6" t="n">
        <v>45536</v>
      </c>
      <c r="B109" s="4" t="n">
        <f aca="false">YEAR(A109)</f>
        <v>2024</v>
      </c>
      <c r="C109" s="4" t="n">
        <f aca="false">MONTH(A109)</f>
        <v>9</v>
      </c>
      <c r="D109" s="4" t="s">
        <v>53</v>
      </c>
      <c r="E109" s="4" t="s">
        <v>54</v>
      </c>
      <c r="F109" s="7" t="n">
        <v>409781</v>
      </c>
      <c r="G109" s="7" t="n">
        <v>595787</v>
      </c>
      <c r="H109" s="8" t="n">
        <f aca="false">IF(F109="","",IF(E109="Revenue",F109-G109,G109-F109))</f>
        <v>186006</v>
      </c>
      <c r="I109" s="9" t="n">
        <f aca="false">IF(OR(F109="",G109=0),"",H109/G109)</f>
        <v>0.312202179638025</v>
      </c>
    </row>
    <row r="110" customFormat="false" ht="15" hidden="false" customHeight="false" outlineLevel="0" collapsed="false">
      <c r="A110" s="6" t="n">
        <v>45566</v>
      </c>
      <c r="B110" s="4" t="n">
        <f aca="false">YEAR(A110)</f>
        <v>2024</v>
      </c>
      <c r="C110" s="4" t="n">
        <f aca="false">MONTH(A110)</f>
        <v>10</v>
      </c>
      <c r="D110" s="4" t="s">
        <v>37</v>
      </c>
      <c r="E110" s="4" t="s">
        <v>38</v>
      </c>
      <c r="F110" s="7" t="n">
        <v>12172953</v>
      </c>
      <c r="G110" s="7" t="n">
        <v>12897440</v>
      </c>
      <c r="H110" s="8" t="n">
        <f aca="false">IF(F110="","",IF(E110="Revenue",F110-G110,G110-F110))</f>
        <v>-724487</v>
      </c>
      <c r="I110" s="9" t="n">
        <f aca="false">IF(OR(F110="",G110=0),"",H110/G110)</f>
        <v>-0.0561729304420102</v>
      </c>
    </row>
    <row r="111" customFormat="false" ht="15" hidden="false" customHeight="false" outlineLevel="0" collapsed="false">
      <c r="A111" s="6" t="n">
        <v>45566</v>
      </c>
      <c r="B111" s="4" t="n">
        <f aca="false">YEAR(A111)</f>
        <v>2024</v>
      </c>
      <c r="C111" s="4" t="n">
        <f aca="false">MONTH(A111)</f>
        <v>10</v>
      </c>
      <c r="D111" s="4" t="s">
        <v>39</v>
      </c>
      <c r="E111" s="4" t="s">
        <v>38</v>
      </c>
      <c r="F111" s="7" t="n">
        <v>4335190</v>
      </c>
      <c r="G111" s="7" t="n">
        <v>4299147</v>
      </c>
      <c r="H111" s="8" t="n">
        <f aca="false">IF(F111="","",IF(E111="Revenue",F111-G111,G111-F111))</f>
        <v>36043</v>
      </c>
      <c r="I111" s="9" t="n">
        <f aca="false">IF(OR(F111="",G111=0),"",H111/G111)</f>
        <v>0.00838375612650603</v>
      </c>
    </row>
    <row r="112" customFormat="false" ht="15" hidden="false" customHeight="false" outlineLevel="0" collapsed="false">
      <c r="A112" s="6" t="n">
        <v>45566</v>
      </c>
      <c r="B112" s="4" t="n">
        <f aca="false">YEAR(A112)</f>
        <v>2024</v>
      </c>
      <c r="C112" s="4" t="n">
        <f aca="false">MONTH(A112)</f>
        <v>10</v>
      </c>
      <c r="D112" s="4" t="s">
        <v>40</v>
      </c>
      <c r="E112" s="4" t="s">
        <v>41</v>
      </c>
      <c r="F112" s="7" t="n">
        <v>6500052</v>
      </c>
      <c r="G112" s="7" t="n">
        <v>6663677</v>
      </c>
      <c r="H112" s="8" t="n">
        <f aca="false">IF(F112="","",IF(E112="Revenue",F112-G112,G112-F112))</f>
        <v>163625</v>
      </c>
      <c r="I112" s="9" t="n">
        <f aca="false">IF(OR(F112="",G112=0),"",H112/G112)</f>
        <v>0.0245547615828318</v>
      </c>
    </row>
    <row r="113" customFormat="false" ht="15" hidden="false" customHeight="false" outlineLevel="0" collapsed="false">
      <c r="A113" s="6" t="n">
        <v>45566</v>
      </c>
      <c r="B113" s="4" t="n">
        <f aca="false">YEAR(A113)</f>
        <v>2024</v>
      </c>
      <c r="C113" s="4" t="n">
        <f aca="false">MONTH(A113)</f>
        <v>10</v>
      </c>
      <c r="D113" s="4" t="s">
        <v>42</v>
      </c>
      <c r="E113" s="4" t="s">
        <v>41</v>
      </c>
      <c r="F113" s="7" t="n">
        <v>1667814</v>
      </c>
      <c r="G113" s="7" t="n">
        <v>1640527</v>
      </c>
      <c r="H113" s="8" t="n">
        <f aca="false">IF(F113="","",IF(E113="Revenue",F113-G113,G113-F113))</f>
        <v>-27287</v>
      </c>
      <c r="I113" s="9" t="n">
        <f aca="false">IF(OR(F113="",G113=0),"",H113/G113)</f>
        <v>-0.0166330697391753</v>
      </c>
    </row>
    <row r="114" customFormat="false" ht="15" hidden="false" customHeight="false" outlineLevel="0" collapsed="false">
      <c r="A114" s="6" t="n">
        <v>45566</v>
      </c>
      <c r="B114" s="4" t="n">
        <f aca="false">YEAR(A114)</f>
        <v>2024</v>
      </c>
      <c r="C114" s="4" t="n">
        <f aca="false">MONTH(A114)</f>
        <v>10</v>
      </c>
      <c r="D114" s="4" t="s">
        <v>43</v>
      </c>
      <c r="E114" s="4" t="s">
        <v>44</v>
      </c>
      <c r="F114" s="7" t="n">
        <v>3796684</v>
      </c>
      <c r="G114" s="7" t="n">
        <v>3693600</v>
      </c>
      <c r="H114" s="8" t="n">
        <f aca="false">IF(F114="","",IF(E114="Revenue",F114-G114,G114-F114))</f>
        <v>-103084</v>
      </c>
      <c r="I114" s="9" t="n">
        <f aca="false">IF(OR(F114="",G114=0),"",H114/G114)</f>
        <v>-0.0279088152479965</v>
      </c>
    </row>
    <row r="115" customFormat="false" ht="15" hidden="false" customHeight="false" outlineLevel="0" collapsed="false">
      <c r="A115" s="6" t="n">
        <v>45566</v>
      </c>
      <c r="B115" s="4" t="n">
        <f aca="false">YEAR(A115)</f>
        <v>2024</v>
      </c>
      <c r="C115" s="4" t="n">
        <f aca="false">MONTH(A115)</f>
        <v>10</v>
      </c>
      <c r="D115" s="4" t="s">
        <v>45</v>
      </c>
      <c r="E115" s="4" t="s">
        <v>44</v>
      </c>
      <c r="F115" s="7" t="n">
        <v>1386316</v>
      </c>
      <c r="G115" s="7" t="n">
        <v>1312423</v>
      </c>
      <c r="H115" s="8" t="n">
        <f aca="false">IF(F115="","",IF(E115="Revenue",F115-G115,G115-F115))</f>
        <v>-73893</v>
      </c>
      <c r="I115" s="9" t="n">
        <f aca="false">IF(OR(F115="",G115=0),"",H115/G115)</f>
        <v>-0.0563027316650196</v>
      </c>
    </row>
    <row r="116" customFormat="false" ht="15" hidden="false" customHeight="false" outlineLevel="0" collapsed="false">
      <c r="A116" s="6" t="n">
        <v>45566</v>
      </c>
      <c r="B116" s="4" t="n">
        <f aca="false">YEAR(A116)</f>
        <v>2024</v>
      </c>
      <c r="C116" s="4" t="n">
        <f aca="false">MONTH(A116)</f>
        <v>10</v>
      </c>
      <c r="D116" s="4" t="s">
        <v>46</v>
      </c>
      <c r="E116" s="4" t="s">
        <v>44</v>
      </c>
      <c r="F116" s="7" t="n">
        <v>610887</v>
      </c>
      <c r="G116" s="7" t="n">
        <v>610887</v>
      </c>
      <c r="H116" s="8" t="n">
        <f aca="false">IF(F116="","",IF(E116="Revenue",F116-G116,G116-F116))</f>
        <v>0</v>
      </c>
      <c r="I116" s="9" t="n">
        <f aca="false">IF(OR(F116="",G116=0),"",H116/G116)</f>
        <v>0</v>
      </c>
    </row>
    <row r="117" customFormat="false" ht="15" hidden="false" customHeight="false" outlineLevel="0" collapsed="false">
      <c r="A117" s="6" t="n">
        <v>45566</v>
      </c>
      <c r="B117" s="4" t="n">
        <f aca="false">YEAR(A117)</f>
        <v>2024</v>
      </c>
      <c r="C117" s="4" t="n">
        <f aca="false">MONTH(A117)</f>
        <v>10</v>
      </c>
      <c r="D117" s="4" t="s">
        <v>47</v>
      </c>
      <c r="E117" s="4" t="s">
        <v>44</v>
      </c>
      <c r="F117" s="7" t="n">
        <v>506876</v>
      </c>
      <c r="G117" s="7" t="n">
        <v>483456</v>
      </c>
      <c r="H117" s="8" t="n">
        <f aca="false">IF(F117="","",IF(E117="Revenue",F117-G117,G117-F117))</f>
        <v>-23420</v>
      </c>
      <c r="I117" s="9" t="n">
        <f aca="false">IF(OR(F117="",G117=0),"",H117/G117)</f>
        <v>-0.0484428779454594</v>
      </c>
    </row>
    <row r="118" customFormat="false" ht="15" hidden="false" customHeight="false" outlineLevel="0" collapsed="false">
      <c r="A118" s="6" t="n">
        <v>45566</v>
      </c>
      <c r="B118" s="4" t="n">
        <f aca="false">YEAR(A118)</f>
        <v>2024</v>
      </c>
      <c r="C118" s="4" t="n">
        <f aca="false">MONTH(A118)</f>
        <v>10</v>
      </c>
      <c r="D118" s="4" t="s">
        <v>48</v>
      </c>
      <c r="E118" s="4" t="s">
        <v>44</v>
      </c>
      <c r="F118" s="7" t="n">
        <v>275877</v>
      </c>
      <c r="G118" s="7" t="n">
        <v>313773</v>
      </c>
      <c r="H118" s="8" t="n">
        <f aca="false">IF(F118="","",IF(E118="Revenue",F118-G118,G118-F118))</f>
        <v>37896</v>
      </c>
      <c r="I118" s="9" t="n">
        <f aca="false">IF(OR(F118="",G118=0),"",H118/G118)</f>
        <v>0.12077521010412</v>
      </c>
    </row>
    <row r="119" customFormat="false" ht="15" hidden="false" customHeight="false" outlineLevel="0" collapsed="false">
      <c r="A119" s="6" t="n">
        <v>45566</v>
      </c>
      <c r="B119" s="4" t="n">
        <f aca="false">YEAR(A119)</f>
        <v>2024</v>
      </c>
      <c r="C119" s="4" t="n">
        <f aca="false">MONTH(A119)</f>
        <v>10</v>
      </c>
      <c r="D119" s="4" t="s">
        <v>49</v>
      </c>
      <c r="E119" s="4" t="s">
        <v>50</v>
      </c>
      <c r="F119" s="7" t="n">
        <v>410931</v>
      </c>
      <c r="G119" s="7" t="n">
        <v>410931</v>
      </c>
      <c r="H119" s="8" t="n">
        <f aca="false">IF(F119="","",IF(E119="Revenue",F119-G119,G119-F119))</f>
        <v>0</v>
      </c>
      <c r="I119" s="9" t="n">
        <f aca="false">IF(OR(F119="",G119=0),"",H119/G119)</f>
        <v>0</v>
      </c>
    </row>
    <row r="120" customFormat="false" ht="15" hidden="false" customHeight="false" outlineLevel="0" collapsed="false">
      <c r="A120" s="6" t="n">
        <v>45566</v>
      </c>
      <c r="B120" s="4" t="n">
        <f aca="false">YEAR(A120)</f>
        <v>2024</v>
      </c>
      <c r="C120" s="4" t="n">
        <f aca="false">MONTH(A120)</f>
        <v>10</v>
      </c>
      <c r="D120" s="4" t="s">
        <v>51</v>
      </c>
      <c r="E120" s="4" t="s">
        <v>52</v>
      </c>
      <c r="F120" s="7" t="n">
        <v>260876</v>
      </c>
      <c r="G120" s="7" t="n">
        <v>250000</v>
      </c>
      <c r="H120" s="8" t="n">
        <f aca="false">IF(F120="","",IF(E120="Revenue",F120-G120,G120-F120))</f>
        <v>-10876</v>
      </c>
      <c r="I120" s="9" t="n">
        <f aca="false">IF(OR(F120="",G120=0),"",H120/G120)</f>
        <v>-0.043504</v>
      </c>
    </row>
    <row r="121" customFormat="false" ht="15" hidden="false" customHeight="false" outlineLevel="0" collapsed="false">
      <c r="A121" s="6" t="n">
        <v>45566</v>
      </c>
      <c r="B121" s="4" t="n">
        <f aca="false">YEAR(A121)</f>
        <v>2024</v>
      </c>
      <c r="C121" s="4" t="n">
        <f aca="false">MONTH(A121)</f>
        <v>10</v>
      </c>
      <c r="D121" s="4" t="s">
        <v>53</v>
      </c>
      <c r="E121" s="4" t="s">
        <v>54</v>
      </c>
      <c r="F121" s="7" t="n">
        <v>272958</v>
      </c>
      <c r="G121" s="7" t="n">
        <v>454329</v>
      </c>
      <c r="H121" s="8" t="n">
        <f aca="false">IF(F121="","",IF(E121="Revenue",F121-G121,G121-F121))</f>
        <v>181371</v>
      </c>
      <c r="I121" s="9" t="n">
        <f aca="false">IF(OR(F121="",G121=0),"",H121/G121)</f>
        <v>0.399206302041032</v>
      </c>
    </row>
    <row r="122" customFormat="false" ht="15" hidden="false" customHeight="false" outlineLevel="0" collapsed="false">
      <c r="A122" s="6" t="n">
        <v>45597</v>
      </c>
      <c r="B122" s="4" t="n">
        <f aca="false">YEAR(A122)</f>
        <v>2024</v>
      </c>
      <c r="C122" s="4" t="n">
        <f aca="false">MONTH(A122)</f>
        <v>11</v>
      </c>
      <c r="D122" s="4" t="s">
        <v>37</v>
      </c>
      <c r="E122" s="4" t="s">
        <v>38</v>
      </c>
      <c r="F122" s="7" t="n">
        <v>11795233</v>
      </c>
      <c r="G122" s="7" t="n">
        <v>12479207</v>
      </c>
      <c r="H122" s="8" t="n">
        <f aca="false">IF(F122="","",IF(E122="Revenue",F122-G122,G122-F122))</f>
        <v>-683974</v>
      </c>
      <c r="I122" s="9" t="n">
        <f aca="false">IF(OR(F122="",G122=0),"",H122/G122)</f>
        <v>-0.05480909163539</v>
      </c>
    </row>
    <row r="123" customFormat="false" ht="15" hidden="false" customHeight="false" outlineLevel="0" collapsed="false">
      <c r="A123" s="6" t="n">
        <v>45597</v>
      </c>
      <c r="B123" s="4" t="n">
        <f aca="false">YEAR(A123)</f>
        <v>2024</v>
      </c>
      <c r="C123" s="4" t="n">
        <f aca="false">MONTH(A123)</f>
        <v>11</v>
      </c>
      <c r="D123" s="4" t="s">
        <v>39</v>
      </c>
      <c r="E123" s="4" t="s">
        <v>38</v>
      </c>
      <c r="F123" s="7" t="n">
        <v>4127390</v>
      </c>
      <c r="G123" s="7" t="n">
        <v>4159736</v>
      </c>
      <c r="H123" s="8" t="n">
        <f aca="false">IF(F123="","",IF(E123="Revenue",F123-G123,G123-F123))</f>
        <v>-32346</v>
      </c>
      <c r="I123" s="9" t="n">
        <f aca="false">IF(OR(F123="",G123=0),"",H123/G123)</f>
        <v>-0.00777597424451936</v>
      </c>
    </row>
    <row r="124" customFormat="false" ht="15" hidden="false" customHeight="false" outlineLevel="0" collapsed="false">
      <c r="A124" s="6" t="n">
        <v>45597</v>
      </c>
      <c r="B124" s="4" t="n">
        <f aca="false">YEAR(A124)</f>
        <v>2024</v>
      </c>
      <c r="C124" s="4" t="n">
        <f aca="false">MONTH(A124)</f>
        <v>11</v>
      </c>
      <c r="D124" s="4" t="s">
        <v>40</v>
      </c>
      <c r="E124" s="4" t="s">
        <v>41</v>
      </c>
      <c r="F124" s="7" t="n">
        <v>6307499</v>
      </c>
      <c r="G124" s="7" t="n">
        <v>6447591</v>
      </c>
      <c r="H124" s="8" t="n">
        <f aca="false">IF(F124="","",IF(E124="Revenue",F124-G124,G124-F124))</f>
        <v>140092</v>
      </c>
      <c r="I124" s="9" t="n">
        <f aca="false">IF(OR(F124="",G124=0),"",H124/G124)</f>
        <v>0.0217278050050011</v>
      </c>
    </row>
    <row r="125" customFormat="false" ht="15" hidden="false" customHeight="false" outlineLevel="0" collapsed="false">
      <c r="A125" s="6" t="n">
        <v>45597</v>
      </c>
      <c r="B125" s="4" t="n">
        <f aca="false">YEAR(A125)</f>
        <v>2024</v>
      </c>
      <c r="C125" s="4" t="n">
        <f aca="false">MONTH(A125)</f>
        <v>11</v>
      </c>
      <c r="D125" s="4" t="s">
        <v>42</v>
      </c>
      <c r="E125" s="4" t="s">
        <v>41</v>
      </c>
      <c r="F125" s="7" t="n">
        <v>1685431</v>
      </c>
      <c r="G125" s="7" t="n">
        <v>1656933</v>
      </c>
      <c r="H125" s="8" t="n">
        <f aca="false">IF(F125="","",IF(E125="Revenue",F125-G125,G125-F125))</f>
        <v>-28498</v>
      </c>
      <c r="I125" s="9" t="n">
        <f aca="false">IF(OR(F125="",G125=0),"",H125/G125)</f>
        <v>-0.0171992470425781</v>
      </c>
    </row>
    <row r="126" customFormat="false" ht="15" hidden="false" customHeight="false" outlineLevel="0" collapsed="false">
      <c r="A126" s="6" t="n">
        <v>45597</v>
      </c>
      <c r="B126" s="4" t="n">
        <f aca="false">YEAR(A126)</f>
        <v>2024</v>
      </c>
      <c r="C126" s="4" t="n">
        <f aca="false">MONTH(A126)</f>
        <v>11</v>
      </c>
      <c r="D126" s="4" t="s">
        <v>43</v>
      </c>
      <c r="E126" s="4" t="s">
        <v>44</v>
      </c>
      <c r="F126" s="7" t="n">
        <v>3821789</v>
      </c>
      <c r="G126" s="7" t="n">
        <v>3715762</v>
      </c>
      <c r="H126" s="8" t="n">
        <f aca="false">IF(F126="","",IF(E126="Revenue",F126-G126,G126-F126))</f>
        <v>-106027</v>
      </c>
      <c r="I126" s="9" t="n">
        <f aca="false">IF(OR(F126="",G126=0),"",H126/G126)</f>
        <v>-0.0285343894469021</v>
      </c>
    </row>
    <row r="127" customFormat="false" ht="15" hidden="false" customHeight="false" outlineLevel="0" collapsed="false">
      <c r="A127" s="6" t="n">
        <v>45597</v>
      </c>
      <c r="B127" s="4" t="n">
        <f aca="false">YEAR(A127)</f>
        <v>2024</v>
      </c>
      <c r="C127" s="4" t="n">
        <f aca="false">MONTH(A127)</f>
        <v>11</v>
      </c>
      <c r="D127" s="4" t="s">
        <v>45</v>
      </c>
      <c r="E127" s="4" t="s">
        <v>44</v>
      </c>
      <c r="F127" s="7" t="n">
        <v>1405206</v>
      </c>
      <c r="G127" s="7" t="n">
        <v>1325547</v>
      </c>
      <c r="H127" s="8" t="n">
        <f aca="false">IF(F127="","",IF(E127="Revenue",F127-G127,G127-F127))</f>
        <v>-79659</v>
      </c>
      <c r="I127" s="9" t="n">
        <f aca="false">IF(OR(F127="",G127=0),"",H127/G127)</f>
        <v>-0.0600951908910058</v>
      </c>
    </row>
    <row r="128" customFormat="false" ht="15" hidden="false" customHeight="false" outlineLevel="0" collapsed="false">
      <c r="A128" s="6" t="n">
        <v>45597</v>
      </c>
      <c r="B128" s="4" t="n">
        <f aca="false">YEAR(A128)</f>
        <v>2024</v>
      </c>
      <c r="C128" s="4" t="n">
        <f aca="false">MONTH(A128)</f>
        <v>11</v>
      </c>
      <c r="D128" s="4" t="s">
        <v>46</v>
      </c>
      <c r="E128" s="4" t="s">
        <v>44</v>
      </c>
      <c r="F128" s="7" t="n">
        <v>612109</v>
      </c>
      <c r="G128" s="7" t="n">
        <v>612109</v>
      </c>
      <c r="H128" s="8" t="n">
        <f aca="false">IF(F128="","",IF(E128="Revenue",F128-G128,G128-F128))</f>
        <v>0</v>
      </c>
      <c r="I128" s="9" t="n">
        <f aca="false">IF(OR(F128="",G128=0),"",H128/G128)</f>
        <v>0</v>
      </c>
    </row>
    <row r="129" customFormat="false" ht="15" hidden="false" customHeight="false" outlineLevel="0" collapsed="false">
      <c r="A129" s="6" t="n">
        <v>45597</v>
      </c>
      <c r="B129" s="4" t="n">
        <f aca="false">YEAR(A129)</f>
        <v>2024</v>
      </c>
      <c r="C129" s="4" t="n">
        <f aca="false">MONTH(A129)</f>
        <v>11</v>
      </c>
      <c r="D129" s="4" t="s">
        <v>47</v>
      </c>
      <c r="E129" s="4" t="s">
        <v>44</v>
      </c>
      <c r="F129" s="7" t="n">
        <v>512223</v>
      </c>
      <c r="G129" s="7" t="n">
        <v>487324</v>
      </c>
      <c r="H129" s="8" t="n">
        <f aca="false">IF(F129="","",IF(E129="Revenue",F129-G129,G129-F129))</f>
        <v>-24899</v>
      </c>
      <c r="I129" s="9" t="n">
        <f aca="false">IF(OR(F129="",G129=0),"",H129/G129)</f>
        <v>-0.05109331779268</v>
      </c>
    </row>
    <row r="130" customFormat="false" ht="15" hidden="false" customHeight="false" outlineLevel="0" collapsed="false">
      <c r="A130" s="6" t="n">
        <v>45597</v>
      </c>
      <c r="B130" s="4" t="n">
        <f aca="false">YEAR(A130)</f>
        <v>2024</v>
      </c>
      <c r="C130" s="4" t="n">
        <f aca="false">MONTH(A130)</f>
        <v>11</v>
      </c>
      <c r="D130" s="4" t="s">
        <v>48</v>
      </c>
      <c r="E130" s="4" t="s">
        <v>44</v>
      </c>
      <c r="F130" s="7" t="n">
        <v>277535</v>
      </c>
      <c r="G130" s="7" t="n">
        <v>315343</v>
      </c>
      <c r="H130" s="8" t="n">
        <f aca="false">IF(F130="","",IF(E130="Revenue",F130-G130,G130-F130))</f>
        <v>37808</v>
      </c>
      <c r="I130" s="9" t="n">
        <f aca="false">IF(OR(F130="",G130=0),"",H130/G130)</f>
        <v>0.11989484466121</v>
      </c>
    </row>
    <row r="131" customFormat="false" ht="15" hidden="false" customHeight="false" outlineLevel="0" collapsed="false">
      <c r="A131" s="6" t="n">
        <v>45597</v>
      </c>
      <c r="B131" s="4" t="n">
        <f aca="false">YEAR(A131)</f>
        <v>2024</v>
      </c>
      <c r="C131" s="4" t="n">
        <f aca="false">MONTH(A131)</f>
        <v>11</v>
      </c>
      <c r="D131" s="4" t="s">
        <v>49</v>
      </c>
      <c r="E131" s="4" t="s">
        <v>50</v>
      </c>
      <c r="F131" s="7" t="n">
        <v>412163</v>
      </c>
      <c r="G131" s="7" t="n">
        <v>412163</v>
      </c>
      <c r="H131" s="8" t="n">
        <f aca="false">IF(F131="","",IF(E131="Revenue",F131-G131,G131-F131))</f>
        <v>0</v>
      </c>
      <c r="I131" s="9" t="n">
        <f aca="false">IF(OR(F131="",G131=0),"",H131/G131)</f>
        <v>0</v>
      </c>
    </row>
    <row r="132" customFormat="false" ht="15" hidden="false" customHeight="false" outlineLevel="0" collapsed="false">
      <c r="A132" s="6" t="n">
        <v>45597</v>
      </c>
      <c r="B132" s="4" t="n">
        <f aca="false">YEAR(A132)</f>
        <v>2024</v>
      </c>
      <c r="C132" s="4" t="n">
        <f aca="false">MONTH(A132)</f>
        <v>11</v>
      </c>
      <c r="D132" s="4" t="s">
        <v>51</v>
      </c>
      <c r="E132" s="4" t="s">
        <v>52</v>
      </c>
      <c r="F132" s="7" t="n">
        <v>261251</v>
      </c>
      <c r="G132" s="7" t="n">
        <v>250000</v>
      </c>
      <c r="H132" s="8" t="n">
        <f aca="false">IF(F132="","",IF(E132="Revenue",F132-G132,G132-F132))</f>
        <v>-11251</v>
      </c>
      <c r="I132" s="9" t="n">
        <f aca="false">IF(OR(F132="",G132=0),"",H132/G132)</f>
        <v>-0.045004</v>
      </c>
    </row>
    <row r="133" customFormat="false" ht="15" hidden="false" customHeight="false" outlineLevel="0" collapsed="false">
      <c r="A133" s="6" t="n">
        <v>45597</v>
      </c>
      <c r="B133" s="4" t="n">
        <f aca="false">YEAR(A133)</f>
        <v>2024</v>
      </c>
      <c r="C133" s="4" t="n">
        <f aca="false">MONTH(A133)</f>
        <v>11</v>
      </c>
      <c r="D133" s="4" t="s">
        <v>53</v>
      </c>
      <c r="E133" s="4" t="s">
        <v>54</v>
      </c>
      <c r="F133" s="7" t="n">
        <v>156855</v>
      </c>
      <c r="G133" s="7" t="n">
        <v>354044</v>
      </c>
      <c r="H133" s="8" t="n">
        <f aca="false">IF(F133="","",IF(E133="Revenue",F133-G133,G133-F133))</f>
        <v>197189</v>
      </c>
      <c r="I133" s="9" t="n">
        <f aca="false">IF(OR(F133="",G133=0),"",H133/G133)</f>
        <v>0.556961846550146</v>
      </c>
    </row>
    <row r="134" customFormat="false" ht="15" hidden="false" customHeight="false" outlineLevel="0" collapsed="false">
      <c r="A134" s="6" t="n">
        <v>45627</v>
      </c>
      <c r="B134" s="4" t="n">
        <f aca="false">YEAR(A134)</f>
        <v>2024</v>
      </c>
      <c r="C134" s="4" t="n">
        <f aca="false">MONTH(A134)</f>
        <v>12</v>
      </c>
      <c r="D134" s="4" t="s">
        <v>37</v>
      </c>
      <c r="E134" s="4" t="s">
        <v>38</v>
      </c>
      <c r="F134" s="7" t="n">
        <v>11815029</v>
      </c>
      <c r="G134" s="7" t="n">
        <v>12439140</v>
      </c>
      <c r="H134" s="8" t="n">
        <f aca="false">IF(F134="","",IF(E134="Revenue",F134-G134,G134-F134))</f>
        <v>-624111</v>
      </c>
      <c r="I134" s="9" t="n">
        <f aca="false">IF(OR(F134="",G134=0),"",H134/G134)</f>
        <v>-0.0501731630964842</v>
      </c>
    </row>
    <row r="135" customFormat="false" ht="15" hidden="false" customHeight="false" outlineLevel="0" collapsed="false">
      <c r="A135" s="6" t="n">
        <v>45627</v>
      </c>
      <c r="B135" s="4" t="n">
        <f aca="false">YEAR(A135)</f>
        <v>2024</v>
      </c>
      <c r="C135" s="4" t="n">
        <f aca="false">MONTH(A135)</f>
        <v>12</v>
      </c>
      <c r="D135" s="4" t="s">
        <v>39</v>
      </c>
      <c r="E135" s="4" t="s">
        <v>38</v>
      </c>
      <c r="F135" s="7" t="n">
        <v>4152666</v>
      </c>
      <c r="G135" s="7" t="n">
        <v>4146380</v>
      </c>
      <c r="H135" s="8" t="n">
        <f aca="false">IF(F135="","",IF(E135="Revenue",F135-G135,G135-F135))</f>
        <v>6286</v>
      </c>
      <c r="I135" s="9" t="n">
        <f aca="false">IF(OR(F135="",G135=0),"",H135/G135)</f>
        <v>0.00151602120403822</v>
      </c>
    </row>
    <row r="136" customFormat="false" ht="15" hidden="false" customHeight="false" outlineLevel="0" collapsed="false">
      <c r="A136" s="6" t="n">
        <v>45627</v>
      </c>
      <c r="B136" s="4" t="n">
        <f aca="false">YEAR(A136)</f>
        <v>2024</v>
      </c>
      <c r="C136" s="4" t="n">
        <f aca="false">MONTH(A136)</f>
        <v>12</v>
      </c>
      <c r="D136" s="4" t="s">
        <v>40</v>
      </c>
      <c r="E136" s="4" t="s">
        <v>41</v>
      </c>
      <c r="F136" s="7" t="n">
        <v>6327243</v>
      </c>
      <c r="G136" s="7" t="n">
        <v>6426889</v>
      </c>
      <c r="H136" s="8" t="n">
        <f aca="false">IF(F136="","",IF(E136="Revenue",F136-G136,G136-F136))</f>
        <v>99646</v>
      </c>
      <c r="I136" s="9" t="n">
        <f aca="false">IF(OR(F136="",G136=0),"",H136/G136)</f>
        <v>0.0155045466010071</v>
      </c>
    </row>
    <row r="137" customFormat="false" ht="15" hidden="false" customHeight="false" outlineLevel="0" collapsed="false">
      <c r="A137" s="6" t="n">
        <v>45627</v>
      </c>
      <c r="B137" s="4" t="n">
        <f aca="false">YEAR(A137)</f>
        <v>2024</v>
      </c>
      <c r="C137" s="4" t="n">
        <f aca="false">MONTH(A137)</f>
        <v>12</v>
      </c>
      <c r="D137" s="4" t="s">
        <v>42</v>
      </c>
      <c r="E137" s="4" t="s">
        <v>41</v>
      </c>
      <c r="F137" s="7" t="n">
        <v>1705513</v>
      </c>
      <c r="G137" s="7" t="n">
        <v>1673503</v>
      </c>
      <c r="H137" s="8" t="n">
        <f aca="false">IF(F137="","",IF(E137="Revenue",F137-G137,G137-F137))</f>
        <v>-32010</v>
      </c>
      <c r="I137" s="9" t="n">
        <f aca="false">IF(OR(F137="",G137=0),"",H137/G137)</f>
        <v>-0.0191275426455764</v>
      </c>
    </row>
    <row r="138" customFormat="false" ht="15" hidden="false" customHeight="false" outlineLevel="0" collapsed="false">
      <c r="A138" s="6" t="n">
        <v>45627</v>
      </c>
      <c r="B138" s="4" t="n">
        <f aca="false">YEAR(A138)</f>
        <v>2024</v>
      </c>
      <c r="C138" s="4" t="n">
        <f aca="false">MONTH(A138)</f>
        <v>12</v>
      </c>
      <c r="D138" s="4" t="s">
        <v>43</v>
      </c>
      <c r="E138" s="4" t="s">
        <v>44</v>
      </c>
      <c r="F138" s="7" t="n">
        <v>3844634</v>
      </c>
      <c r="G138" s="7" t="n">
        <v>3738056</v>
      </c>
      <c r="H138" s="8" t="n">
        <f aca="false">IF(F138="","",IF(E138="Revenue",F138-G138,G138-F138))</f>
        <v>-106578</v>
      </c>
      <c r="I138" s="9" t="n">
        <f aca="false">IF(OR(F138="",G138=0),"",H138/G138)</f>
        <v>-0.028511611383029</v>
      </c>
    </row>
    <row r="139" customFormat="false" ht="15" hidden="false" customHeight="false" outlineLevel="0" collapsed="false">
      <c r="A139" s="6" t="n">
        <v>45627</v>
      </c>
      <c r="B139" s="4" t="n">
        <f aca="false">YEAR(A139)</f>
        <v>2024</v>
      </c>
      <c r="C139" s="4" t="n">
        <f aca="false">MONTH(A139)</f>
        <v>12</v>
      </c>
      <c r="D139" s="4" t="s">
        <v>45</v>
      </c>
      <c r="E139" s="4" t="s">
        <v>44</v>
      </c>
      <c r="F139" s="7" t="n">
        <v>1425238</v>
      </c>
      <c r="G139" s="7" t="n">
        <v>1338803</v>
      </c>
      <c r="H139" s="8" t="n">
        <f aca="false">IF(F139="","",IF(E139="Revenue",F139-G139,G139-F139))</f>
        <v>-86435</v>
      </c>
      <c r="I139" s="9" t="n">
        <f aca="false">IF(OR(F139="",G139=0),"",H139/G139)</f>
        <v>-0.0645614029846064</v>
      </c>
    </row>
    <row r="140" customFormat="false" ht="15" hidden="false" customHeight="false" outlineLevel="0" collapsed="false">
      <c r="A140" s="6" t="n">
        <v>45627</v>
      </c>
      <c r="B140" s="4" t="n">
        <f aca="false">YEAR(A140)</f>
        <v>2024</v>
      </c>
      <c r="C140" s="4" t="n">
        <f aca="false">MONTH(A140)</f>
        <v>12</v>
      </c>
      <c r="D140" s="4" t="s">
        <v>46</v>
      </c>
      <c r="E140" s="4" t="s">
        <v>44</v>
      </c>
      <c r="F140" s="7" t="n">
        <v>613333</v>
      </c>
      <c r="G140" s="7" t="n">
        <v>613333</v>
      </c>
      <c r="H140" s="8" t="n">
        <f aca="false">IF(F140="","",IF(E140="Revenue",F140-G140,G140-F140))</f>
        <v>0</v>
      </c>
      <c r="I140" s="9" t="n">
        <f aca="false">IF(OR(F140="",G140=0),"",H140/G140)</f>
        <v>0</v>
      </c>
    </row>
    <row r="141" customFormat="false" ht="15" hidden="false" customHeight="false" outlineLevel="0" collapsed="false">
      <c r="A141" s="6" t="n">
        <v>45627</v>
      </c>
      <c r="B141" s="4" t="n">
        <f aca="false">YEAR(A141)</f>
        <v>2024</v>
      </c>
      <c r="C141" s="4" t="n">
        <f aca="false">MONTH(A141)</f>
        <v>12</v>
      </c>
      <c r="D141" s="4" t="s">
        <v>47</v>
      </c>
      <c r="E141" s="4" t="s">
        <v>44</v>
      </c>
      <c r="F141" s="7" t="n">
        <v>516968</v>
      </c>
      <c r="G141" s="7" t="n">
        <v>491223</v>
      </c>
      <c r="H141" s="8" t="n">
        <f aca="false">IF(F141="","",IF(E141="Revenue",F141-G141,G141-F141))</f>
        <v>-25745</v>
      </c>
      <c r="I141" s="9" t="n">
        <f aca="false">IF(OR(F141="",G141=0),"",H141/G141)</f>
        <v>-0.0524100052318397</v>
      </c>
    </row>
    <row r="142" customFormat="false" ht="15" hidden="false" customHeight="false" outlineLevel="0" collapsed="false">
      <c r="A142" s="6" t="n">
        <v>45627</v>
      </c>
      <c r="B142" s="4" t="n">
        <f aca="false">YEAR(A142)</f>
        <v>2024</v>
      </c>
      <c r="C142" s="4" t="n">
        <f aca="false">MONTH(A142)</f>
        <v>12</v>
      </c>
      <c r="D142" s="4" t="s">
        <v>48</v>
      </c>
      <c r="E142" s="4" t="s">
        <v>44</v>
      </c>
      <c r="F142" s="7" t="n">
        <v>279436</v>
      </c>
      <c r="G142" s="7" t="n">
        <v>316920</v>
      </c>
      <c r="H142" s="8" t="n">
        <f aca="false">IF(F142="","",IF(E142="Revenue",F142-G142,G142-F142))</f>
        <v>37484</v>
      </c>
      <c r="I142" s="9" t="n">
        <f aca="false">IF(OR(F142="",G142=0),"",H142/G142)</f>
        <v>0.118275905591316</v>
      </c>
    </row>
    <row r="143" customFormat="false" ht="15" hidden="false" customHeight="false" outlineLevel="0" collapsed="false">
      <c r="A143" s="6" t="n">
        <v>45627</v>
      </c>
      <c r="B143" s="4" t="n">
        <f aca="false">YEAR(A143)</f>
        <v>2024</v>
      </c>
      <c r="C143" s="4" t="n">
        <f aca="false">MONTH(A143)</f>
        <v>12</v>
      </c>
      <c r="D143" s="4" t="s">
        <v>49</v>
      </c>
      <c r="E143" s="4" t="s">
        <v>50</v>
      </c>
      <c r="F143" s="7" t="n">
        <v>413400</v>
      </c>
      <c r="G143" s="7" t="n">
        <v>413400</v>
      </c>
      <c r="H143" s="8" t="n">
        <f aca="false">IF(F143="","",IF(E143="Revenue",F143-G143,G143-F143))</f>
        <v>0</v>
      </c>
      <c r="I143" s="9" t="n">
        <f aca="false">IF(OR(F143="",G143=0),"",H143/G143)</f>
        <v>0</v>
      </c>
    </row>
    <row r="144" customFormat="false" ht="15" hidden="false" customHeight="false" outlineLevel="0" collapsed="false">
      <c r="A144" s="6" t="n">
        <v>45627</v>
      </c>
      <c r="B144" s="4" t="n">
        <f aca="false">YEAR(A144)</f>
        <v>2024</v>
      </c>
      <c r="C144" s="4" t="n">
        <f aca="false">MONTH(A144)</f>
        <v>12</v>
      </c>
      <c r="D144" s="4" t="s">
        <v>51</v>
      </c>
      <c r="E144" s="4" t="s">
        <v>52</v>
      </c>
      <c r="F144" s="7" t="n">
        <v>261626</v>
      </c>
      <c r="G144" s="7" t="n">
        <v>250000</v>
      </c>
      <c r="H144" s="8" t="n">
        <f aca="false">IF(F144="","",IF(E144="Revenue",F144-G144,G144-F144))</f>
        <v>-11626</v>
      </c>
      <c r="I144" s="9" t="n">
        <f aca="false">IF(OR(F144="",G144=0),"",H144/G144)</f>
        <v>-0.046504</v>
      </c>
    </row>
    <row r="145" customFormat="false" ht="15" hidden="false" customHeight="false" outlineLevel="0" collapsed="false">
      <c r="A145" s="6" t="n">
        <v>45627</v>
      </c>
      <c r="B145" s="4" t="n">
        <f aca="false">YEAR(A145)</f>
        <v>2024</v>
      </c>
      <c r="C145" s="4" t="n">
        <f aca="false">MONTH(A145)</f>
        <v>12</v>
      </c>
      <c r="D145" s="4" t="s">
        <v>53</v>
      </c>
      <c r="E145" s="4" t="s">
        <v>54</v>
      </c>
      <c r="F145" s="7" t="n">
        <v>145076</v>
      </c>
      <c r="G145" s="7" t="n">
        <v>330848</v>
      </c>
      <c r="H145" s="8" t="n">
        <f aca="false">IF(F145="","",IF(E145="Revenue",F145-G145,G145-F145))</f>
        <v>185772</v>
      </c>
      <c r="I145" s="9" t="n">
        <f aca="false">IF(OR(F145="",G145=0),"",H145/G145)</f>
        <v>0.561502563110552</v>
      </c>
    </row>
    <row r="146" customFormat="false" ht="15" hidden="false" customHeight="false" outlineLevel="0" collapsed="false">
      <c r="A146" s="6" t="n">
        <v>45658</v>
      </c>
      <c r="B146" s="4" t="n">
        <f aca="false">YEAR(A146)</f>
        <v>2025</v>
      </c>
      <c r="C146" s="4" t="n">
        <f aca="false">MONTH(A146)</f>
        <v>1</v>
      </c>
      <c r="D146" s="4" t="s">
        <v>37</v>
      </c>
      <c r="E146" s="4" t="s">
        <v>38</v>
      </c>
      <c r="F146" s="7" t="n">
        <v>12109614</v>
      </c>
      <c r="G146" s="7" t="n">
        <v>12856391</v>
      </c>
      <c r="H146" s="8" t="n">
        <f aca="false">IF(F146="","",IF(E146="Revenue",F146-G146,G146-F146))</f>
        <v>-746777</v>
      </c>
      <c r="I146" s="9" t="n">
        <f aca="false">IF(OR(F146="",G146=0),"",H146/G146)</f>
        <v>-0.0580860522988139</v>
      </c>
    </row>
    <row r="147" customFormat="false" ht="15" hidden="false" customHeight="false" outlineLevel="0" collapsed="false">
      <c r="A147" s="6" t="n">
        <v>45658</v>
      </c>
      <c r="B147" s="4" t="n">
        <f aca="false">YEAR(A147)</f>
        <v>2025</v>
      </c>
      <c r="C147" s="4" t="n">
        <f aca="false">MONTH(A147)</f>
        <v>1</v>
      </c>
      <c r="D147" s="4" t="s">
        <v>39</v>
      </c>
      <c r="E147" s="4" t="s">
        <v>38</v>
      </c>
      <c r="F147" s="7" t="n">
        <v>4313602</v>
      </c>
      <c r="G147" s="7" t="n">
        <v>4285464</v>
      </c>
      <c r="H147" s="8" t="n">
        <f aca="false">IF(F147="","",IF(E147="Revenue",F147-G147,G147-F147))</f>
        <v>28138</v>
      </c>
      <c r="I147" s="9" t="n">
        <f aca="false">IF(OR(F147="",G147=0),"",H147/G147)</f>
        <v>0.00656591678287345</v>
      </c>
    </row>
    <row r="148" customFormat="false" ht="15" hidden="false" customHeight="false" outlineLevel="0" collapsed="false">
      <c r="A148" s="6" t="n">
        <v>45658</v>
      </c>
      <c r="B148" s="4" t="n">
        <f aca="false">YEAR(A148)</f>
        <v>2025</v>
      </c>
      <c r="C148" s="4" t="n">
        <f aca="false">MONTH(A148)</f>
        <v>1</v>
      </c>
      <c r="D148" s="4" t="s">
        <v>40</v>
      </c>
      <c r="E148" s="4" t="s">
        <v>41</v>
      </c>
      <c r="F148" s="7" t="n">
        <v>6494386</v>
      </c>
      <c r="G148" s="7" t="n">
        <v>6642469</v>
      </c>
      <c r="H148" s="8" t="n">
        <f aca="false">IF(F148="","",IF(E148="Revenue",F148-G148,G148-F148))</f>
        <v>148083</v>
      </c>
      <c r="I148" s="9" t="n">
        <f aca="false">IF(OR(F148="",G148=0),"",H148/G148)</f>
        <v>0.022293367119967</v>
      </c>
    </row>
    <row r="149" customFormat="false" ht="15" hidden="false" customHeight="false" outlineLevel="0" collapsed="false">
      <c r="A149" s="6" t="n">
        <v>45658</v>
      </c>
      <c r="B149" s="4" t="n">
        <f aca="false">YEAR(A149)</f>
        <v>2025</v>
      </c>
      <c r="C149" s="4" t="n">
        <f aca="false">MONTH(A149)</f>
        <v>1</v>
      </c>
      <c r="D149" s="4" t="s">
        <v>42</v>
      </c>
      <c r="E149" s="4" t="s">
        <v>41</v>
      </c>
      <c r="F149" s="7" t="n">
        <v>1717004</v>
      </c>
      <c r="G149" s="7" t="n">
        <v>1690237</v>
      </c>
      <c r="H149" s="8" t="n">
        <f aca="false">IF(F149="","",IF(E149="Revenue",F149-G149,G149-F149))</f>
        <v>-26767</v>
      </c>
      <c r="I149" s="9" t="n">
        <f aca="false">IF(OR(F149="",G149=0),"",H149/G149)</f>
        <v>-0.0158362407165386</v>
      </c>
    </row>
    <row r="150" customFormat="false" ht="15" hidden="false" customHeight="false" outlineLevel="0" collapsed="false">
      <c r="A150" s="6" t="n">
        <v>45658</v>
      </c>
      <c r="B150" s="4" t="n">
        <f aca="false">YEAR(A150)</f>
        <v>2025</v>
      </c>
      <c r="C150" s="4" t="n">
        <f aca="false">MONTH(A150)</f>
        <v>1</v>
      </c>
      <c r="D150" s="4" t="s">
        <v>43</v>
      </c>
      <c r="E150" s="4" t="s">
        <v>44</v>
      </c>
      <c r="F150" s="7" t="n">
        <v>3872493</v>
      </c>
      <c r="G150" s="7" t="n">
        <v>3760484</v>
      </c>
      <c r="H150" s="8" t="n">
        <f aca="false">IF(F150="","",IF(E150="Revenue",F150-G150,G150-F150))</f>
        <v>-112009</v>
      </c>
      <c r="I150" s="9" t="n">
        <f aca="false">IF(OR(F150="",G150=0),"",H150/G150)</f>
        <v>-0.0297857935308327</v>
      </c>
    </row>
    <row r="151" customFormat="false" ht="15" hidden="false" customHeight="false" outlineLevel="0" collapsed="false">
      <c r="A151" s="6" t="n">
        <v>45658</v>
      </c>
      <c r="B151" s="4" t="n">
        <f aca="false">YEAR(A151)</f>
        <v>2025</v>
      </c>
      <c r="C151" s="4" t="n">
        <f aca="false">MONTH(A151)</f>
        <v>1</v>
      </c>
      <c r="D151" s="4" t="s">
        <v>45</v>
      </c>
      <c r="E151" s="4" t="s">
        <v>44</v>
      </c>
      <c r="F151" s="7" t="n">
        <v>1442819</v>
      </c>
      <c r="G151" s="7" t="n">
        <v>1352191</v>
      </c>
      <c r="H151" s="8" t="n">
        <f aca="false">IF(F151="","",IF(E151="Revenue",F151-G151,G151-F151))</f>
        <v>-90628</v>
      </c>
      <c r="I151" s="9" t="n">
        <f aca="false">IF(OR(F151="",G151=0),"",H151/G151)</f>
        <v>-0.0670230758820315</v>
      </c>
    </row>
    <row r="152" customFormat="false" ht="15" hidden="false" customHeight="false" outlineLevel="0" collapsed="false">
      <c r="A152" s="6" t="n">
        <v>45658</v>
      </c>
      <c r="B152" s="4" t="n">
        <f aca="false">YEAR(A152)</f>
        <v>2025</v>
      </c>
      <c r="C152" s="4" t="n">
        <f aca="false">MONTH(A152)</f>
        <v>1</v>
      </c>
      <c r="D152" s="4" t="s">
        <v>46</v>
      </c>
      <c r="E152" s="4" t="s">
        <v>44</v>
      </c>
      <c r="F152" s="7" t="n">
        <v>614560</v>
      </c>
      <c r="G152" s="7" t="n">
        <v>614560</v>
      </c>
      <c r="H152" s="8" t="n">
        <f aca="false">IF(F152="","",IF(E152="Revenue",F152-G152,G152-F152))</f>
        <v>0</v>
      </c>
      <c r="I152" s="9" t="n">
        <f aca="false">IF(OR(F152="",G152=0),"",H152/G152)</f>
        <v>0</v>
      </c>
    </row>
    <row r="153" customFormat="false" ht="15" hidden="false" customHeight="false" outlineLevel="0" collapsed="false">
      <c r="A153" s="6" t="n">
        <v>45658</v>
      </c>
      <c r="B153" s="4" t="n">
        <f aca="false">YEAR(A153)</f>
        <v>2025</v>
      </c>
      <c r="C153" s="4" t="n">
        <f aca="false">MONTH(A153)</f>
        <v>1</v>
      </c>
      <c r="D153" s="4" t="s">
        <v>47</v>
      </c>
      <c r="E153" s="4" t="s">
        <v>44</v>
      </c>
      <c r="F153" s="7" t="n">
        <v>523070</v>
      </c>
      <c r="G153" s="7" t="n">
        <v>495153</v>
      </c>
      <c r="H153" s="8" t="n">
        <f aca="false">IF(F153="","",IF(E153="Revenue",F153-G153,G153-F153))</f>
        <v>-27917</v>
      </c>
      <c r="I153" s="9" t="n">
        <f aca="false">IF(OR(F153="",G153=0),"",H153/G153)</f>
        <v>-0.0563805530815728</v>
      </c>
    </row>
    <row r="154" customFormat="false" ht="15" hidden="false" customHeight="false" outlineLevel="0" collapsed="false">
      <c r="A154" s="6" t="n">
        <v>45658</v>
      </c>
      <c r="B154" s="4" t="n">
        <f aca="false">YEAR(A154)</f>
        <v>2025</v>
      </c>
      <c r="C154" s="4" t="n">
        <f aca="false">MONTH(A154)</f>
        <v>1</v>
      </c>
      <c r="D154" s="4" t="s">
        <v>48</v>
      </c>
      <c r="E154" s="4" t="s">
        <v>44</v>
      </c>
      <c r="F154" s="7" t="n">
        <v>280642</v>
      </c>
      <c r="G154" s="7" t="n">
        <v>318504</v>
      </c>
      <c r="H154" s="8" t="n">
        <f aca="false">IF(F154="","",IF(E154="Revenue",F154-G154,G154-F154))</f>
        <v>37862</v>
      </c>
      <c r="I154" s="9" t="n">
        <f aca="false">IF(OR(F154="",G154=0),"",H154/G154)</f>
        <v>0.118874488232487</v>
      </c>
    </row>
    <row r="155" customFormat="false" ht="15" hidden="false" customHeight="false" outlineLevel="0" collapsed="false">
      <c r="A155" s="6" t="n">
        <v>45658</v>
      </c>
      <c r="B155" s="4" t="n">
        <f aca="false">YEAR(A155)</f>
        <v>2025</v>
      </c>
      <c r="C155" s="4" t="n">
        <f aca="false">MONTH(A155)</f>
        <v>1</v>
      </c>
      <c r="D155" s="4" t="s">
        <v>49</v>
      </c>
      <c r="E155" s="4" t="s">
        <v>50</v>
      </c>
      <c r="F155" s="7" t="n">
        <v>414640</v>
      </c>
      <c r="G155" s="7" t="n">
        <v>414640</v>
      </c>
      <c r="H155" s="8" t="n">
        <f aca="false">IF(F155="","",IF(E155="Revenue",F155-G155,G155-F155))</f>
        <v>0</v>
      </c>
      <c r="I155" s="9" t="n">
        <f aca="false">IF(OR(F155="",G155=0),"",H155/G155)</f>
        <v>0</v>
      </c>
    </row>
    <row r="156" customFormat="false" ht="15" hidden="false" customHeight="false" outlineLevel="0" collapsed="false">
      <c r="A156" s="6" t="n">
        <v>45658</v>
      </c>
      <c r="B156" s="4" t="n">
        <f aca="false">YEAR(A156)</f>
        <v>2025</v>
      </c>
      <c r="C156" s="4" t="n">
        <f aca="false">MONTH(A156)</f>
        <v>1</v>
      </c>
      <c r="D156" s="4" t="s">
        <v>51</v>
      </c>
      <c r="E156" s="4" t="s">
        <v>52</v>
      </c>
      <c r="F156" s="7" t="n">
        <v>262000</v>
      </c>
      <c r="G156" s="7" t="n">
        <v>250000</v>
      </c>
      <c r="H156" s="8" t="n">
        <f aca="false">IF(F156="","",IF(E156="Revenue",F156-G156,G156-F156))</f>
        <v>-12000</v>
      </c>
      <c r="I156" s="9" t="n">
        <f aca="false">IF(OR(F156="",G156=0),"",H156/G156)</f>
        <v>-0.048</v>
      </c>
    </row>
    <row r="157" customFormat="false" ht="15" hidden="false" customHeight="false" outlineLevel="0" collapsed="false">
      <c r="A157" s="6" t="n">
        <v>45658</v>
      </c>
      <c r="B157" s="4" t="n">
        <f aca="false">YEAR(A157)</f>
        <v>2025</v>
      </c>
      <c r="C157" s="4" t="n">
        <f aca="false">MONTH(A157)</f>
        <v>1</v>
      </c>
      <c r="D157" s="4" t="s">
        <v>53</v>
      </c>
      <c r="E157" s="4" t="s">
        <v>54</v>
      </c>
      <c r="F157" s="7" t="n">
        <v>200401</v>
      </c>
      <c r="G157" s="7" t="n">
        <v>400904</v>
      </c>
      <c r="H157" s="8" t="n">
        <f aca="false">IF(F157="","",IF(E157="Revenue",F157-G157,G157-F157))</f>
        <v>200503</v>
      </c>
      <c r="I157" s="9" t="n">
        <f aca="false">IF(OR(F157="",G157=0),"",H157/G157)</f>
        <v>0.500127212499751</v>
      </c>
    </row>
    <row r="158" customFormat="false" ht="15" hidden="false" customHeight="false" outlineLevel="0" collapsed="false">
      <c r="A158" s="6" t="n">
        <v>45689</v>
      </c>
      <c r="B158" s="4" t="n">
        <f aca="false">YEAR(A158)</f>
        <v>2025</v>
      </c>
      <c r="C158" s="4" t="n">
        <f aca="false">MONTH(A158)</f>
        <v>2</v>
      </c>
      <c r="D158" s="4" t="s">
        <v>37</v>
      </c>
      <c r="E158" s="4" t="s">
        <v>38</v>
      </c>
      <c r="F158" s="7" t="n">
        <v>12638609</v>
      </c>
      <c r="G158" s="7" t="n">
        <v>13688871</v>
      </c>
      <c r="H158" s="8" t="n">
        <f aca="false">IF(F158="","",IF(E158="Revenue",F158-G158,G158-F158))</f>
        <v>-1050262</v>
      </c>
      <c r="I158" s="9" t="n">
        <f aca="false">IF(OR(F158="",G158=0),"",H158/G158)</f>
        <v>-0.0767237853289727</v>
      </c>
    </row>
    <row r="159" customFormat="false" ht="15" hidden="false" customHeight="false" outlineLevel="0" collapsed="false">
      <c r="A159" s="6" t="n">
        <v>45689</v>
      </c>
      <c r="B159" s="4" t="n">
        <f aca="false">YEAR(A159)</f>
        <v>2025</v>
      </c>
      <c r="C159" s="4" t="n">
        <f aca="false">MONTH(A159)</f>
        <v>2</v>
      </c>
      <c r="D159" s="4" t="s">
        <v>39</v>
      </c>
      <c r="E159" s="4" t="s">
        <v>38</v>
      </c>
      <c r="F159" s="7" t="n">
        <v>4635317</v>
      </c>
      <c r="G159" s="7" t="n">
        <v>4562957</v>
      </c>
      <c r="H159" s="8" t="n">
        <f aca="false">IF(F159="","",IF(E159="Revenue",F159-G159,G159-F159))</f>
        <v>72360</v>
      </c>
      <c r="I159" s="9" t="n">
        <f aca="false">IF(OR(F159="",G159=0),"",H159/G159)</f>
        <v>0.0158581376068194</v>
      </c>
    </row>
    <row r="160" customFormat="false" ht="15" hidden="false" customHeight="false" outlineLevel="0" collapsed="false">
      <c r="A160" s="6" t="n">
        <v>45689</v>
      </c>
      <c r="B160" s="4" t="n">
        <f aca="false">YEAR(A160)</f>
        <v>2025</v>
      </c>
      <c r="C160" s="4" t="n">
        <f aca="false">MONTH(A160)</f>
        <v>2</v>
      </c>
      <c r="D160" s="4" t="s">
        <v>40</v>
      </c>
      <c r="E160" s="4" t="s">
        <v>41</v>
      </c>
      <c r="F160" s="7" t="n">
        <v>6787881</v>
      </c>
      <c r="G160" s="7" t="n">
        <v>7072584</v>
      </c>
      <c r="H160" s="8" t="n">
        <f aca="false">IF(F160="","",IF(E160="Revenue",F160-G160,G160-F160))</f>
        <v>284703</v>
      </c>
      <c r="I160" s="9" t="n">
        <f aca="false">IF(OR(F160="",G160=0),"",H160/G160)</f>
        <v>0.0402544529693815</v>
      </c>
    </row>
    <row r="161" customFormat="false" ht="15" hidden="false" customHeight="false" outlineLevel="0" collapsed="false">
      <c r="A161" s="6" t="n">
        <v>45689</v>
      </c>
      <c r="B161" s="4" t="n">
        <f aca="false">YEAR(A161)</f>
        <v>2025</v>
      </c>
      <c r="C161" s="4" t="n">
        <f aca="false">MONTH(A161)</f>
        <v>2</v>
      </c>
      <c r="D161" s="4" t="s">
        <v>42</v>
      </c>
      <c r="E161" s="4" t="s">
        <v>41</v>
      </c>
      <c r="F161" s="7" t="n">
        <v>1720939</v>
      </c>
      <c r="G161" s="7" t="n">
        <v>1707140</v>
      </c>
      <c r="H161" s="8" t="n">
        <f aca="false">IF(F161="","",IF(E161="Revenue",F161-G161,G161-F161))</f>
        <v>-13799</v>
      </c>
      <c r="I161" s="9" t="n">
        <f aca="false">IF(OR(F161="",G161=0),"",H161/G161)</f>
        <v>-0.0080831097625268</v>
      </c>
    </row>
    <row r="162" customFormat="false" ht="15" hidden="false" customHeight="false" outlineLevel="0" collapsed="false">
      <c r="A162" s="6" t="n">
        <v>45689</v>
      </c>
      <c r="B162" s="4" t="n">
        <f aca="false">YEAR(A162)</f>
        <v>2025</v>
      </c>
      <c r="C162" s="4" t="n">
        <f aca="false">MONTH(A162)</f>
        <v>2</v>
      </c>
      <c r="D162" s="4" t="s">
        <v>43</v>
      </c>
      <c r="E162" s="4" t="s">
        <v>44</v>
      </c>
      <c r="F162" s="7" t="n">
        <v>3895635</v>
      </c>
      <c r="G162" s="7" t="n">
        <v>3783047</v>
      </c>
      <c r="H162" s="8" t="n">
        <f aca="false">IF(F162="","",IF(E162="Revenue",F162-G162,G162-F162))</f>
        <v>-112588</v>
      </c>
      <c r="I162" s="9" t="n">
        <f aca="false">IF(OR(F162="",G162=0),"",H162/G162)</f>
        <v>-0.0297611951424341</v>
      </c>
    </row>
    <row r="163" customFormat="false" ht="15" hidden="false" customHeight="false" outlineLevel="0" collapsed="false">
      <c r="A163" s="6" t="n">
        <v>45689</v>
      </c>
      <c r="B163" s="4" t="n">
        <f aca="false">YEAR(A163)</f>
        <v>2025</v>
      </c>
      <c r="C163" s="4" t="n">
        <f aca="false">MONTH(A163)</f>
        <v>2</v>
      </c>
      <c r="D163" s="4" t="s">
        <v>45</v>
      </c>
      <c r="E163" s="4" t="s">
        <v>44</v>
      </c>
      <c r="F163" s="7" t="n">
        <v>1457844</v>
      </c>
      <c r="G163" s="7" t="n">
        <v>1365713</v>
      </c>
      <c r="H163" s="8" t="n">
        <f aca="false">IF(F163="","",IF(E163="Revenue",F163-G163,G163-F163))</f>
        <v>-92131</v>
      </c>
      <c r="I163" s="9" t="n">
        <f aca="false">IF(OR(F163="",G163=0),"",H163/G163)</f>
        <v>-0.0674600007468626</v>
      </c>
    </row>
    <row r="164" customFormat="false" ht="15" hidden="false" customHeight="false" outlineLevel="0" collapsed="false">
      <c r="A164" s="6" t="n">
        <v>45689</v>
      </c>
      <c r="B164" s="4" t="n">
        <f aca="false">YEAR(A164)</f>
        <v>2025</v>
      </c>
      <c r="C164" s="4" t="n">
        <f aca="false">MONTH(A164)</f>
        <v>2</v>
      </c>
      <c r="D164" s="4" t="s">
        <v>46</v>
      </c>
      <c r="E164" s="4" t="s">
        <v>44</v>
      </c>
      <c r="F164" s="7" t="n">
        <v>615789</v>
      </c>
      <c r="G164" s="7" t="n">
        <v>615789</v>
      </c>
      <c r="H164" s="8" t="n">
        <f aca="false">IF(F164="","",IF(E164="Revenue",F164-G164,G164-F164))</f>
        <v>0</v>
      </c>
      <c r="I164" s="9" t="n">
        <f aca="false">IF(OR(F164="",G164=0),"",H164/G164)</f>
        <v>0</v>
      </c>
    </row>
    <row r="165" customFormat="false" ht="15" hidden="false" customHeight="false" outlineLevel="0" collapsed="false">
      <c r="A165" s="6" t="n">
        <v>45689</v>
      </c>
      <c r="B165" s="4" t="n">
        <f aca="false">YEAR(A165)</f>
        <v>2025</v>
      </c>
      <c r="C165" s="4" t="n">
        <f aca="false">MONTH(A165)</f>
        <v>2</v>
      </c>
      <c r="D165" s="4" t="s">
        <v>47</v>
      </c>
      <c r="E165" s="4" t="s">
        <v>44</v>
      </c>
      <c r="F165" s="7" t="n">
        <v>527906</v>
      </c>
      <c r="G165" s="7" t="n">
        <v>499113</v>
      </c>
      <c r="H165" s="8" t="n">
        <f aca="false">IF(F165="","",IF(E165="Revenue",F165-G165,G165-F165))</f>
        <v>-28793</v>
      </c>
      <c r="I165" s="9" t="n">
        <f aca="false">IF(OR(F165="",G165=0),"",H165/G165)</f>
        <v>-0.0576883391135875</v>
      </c>
    </row>
    <row r="166" customFormat="false" ht="15" hidden="false" customHeight="false" outlineLevel="0" collapsed="false">
      <c r="A166" s="6" t="n">
        <v>45689</v>
      </c>
      <c r="B166" s="4" t="n">
        <f aca="false">YEAR(A166)</f>
        <v>2025</v>
      </c>
      <c r="C166" s="4" t="n">
        <f aca="false">MONTH(A166)</f>
        <v>2</v>
      </c>
      <c r="D166" s="4" t="s">
        <v>48</v>
      </c>
      <c r="E166" s="4" t="s">
        <v>44</v>
      </c>
      <c r="F166" s="7" t="n">
        <v>281143</v>
      </c>
      <c r="G166" s="7" t="n">
        <v>320096</v>
      </c>
      <c r="H166" s="8" t="n">
        <f aca="false">IF(F166="","",IF(E166="Revenue",F166-G166,G166-F166))</f>
        <v>38953</v>
      </c>
      <c r="I166" s="9" t="n">
        <f aca="false">IF(OR(F166="",G166=0),"",H166/G166)</f>
        <v>0.121691617514746</v>
      </c>
    </row>
    <row r="167" customFormat="false" ht="15" hidden="false" customHeight="false" outlineLevel="0" collapsed="false">
      <c r="A167" s="6" t="n">
        <v>45689</v>
      </c>
      <c r="B167" s="4" t="n">
        <f aca="false">YEAR(A167)</f>
        <v>2025</v>
      </c>
      <c r="C167" s="4" t="n">
        <f aca="false">MONTH(A167)</f>
        <v>2</v>
      </c>
      <c r="D167" s="4" t="s">
        <v>49</v>
      </c>
      <c r="E167" s="4" t="s">
        <v>50</v>
      </c>
      <c r="F167" s="7" t="n">
        <v>415884</v>
      </c>
      <c r="G167" s="7" t="n">
        <v>415884</v>
      </c>
      <c r="H167" s="8" t="n">
        <f aca="false">IF(F167="","",IF(E167="Revenue",F167-G167,G167-F167))</f>
        <v>0</v>
      </c>
      <c r="I167" s="9" t="n">
        <f aca="false">IF(OR(F167="",G167=0),"",H167/G167)</f>
        <v>0</v>
      </c>
    </row>
    <row r="168" customFormat="false" ht="15" hidden="false" customHeight="false" outlineLevel="0" collapsed="false">
      <c r="A168" s="6" t="n">
        <v>45689</v>
      </c>
      <c r="B168" s="4" t="n">
        <f aca="false">YEAR(A168)</f>
        <v>2025</v>
      </c>
      <c r="C168" s="4" t="n">
        <f aca="false">MONTH(A168)</f>
        <v>2</v>
      </c>
      <c r="D168" s="4" t="s">
        <v>51</v>
      </c>
      <c r="E168" s="4" t="s">
        <v>52</v>
      </c>
      <c r="F168" s="7" t="n">
        <v>262376</v>
      </c>
      <c r="G168" s="7" t="n">
        <v>250000</v>
      </c>
      <c r="H168" s="8" t="n">
        <f aca="false">IF(F168="","",IF(E168="Revenue",F168-G168,G168-F168))</f>
        <v>-12376</v>
      </c>
      <c r="I168" s="9" t="n">
        <f aca="false">IF(OR(F168="",G168=0),"",H168/G168)</f>
        <v>-0.049504</v>
      </c>
    </row>
    <row r="169" customFormat="false" ht="15" hidden="false" customHeight="false" outlineLevel="0" collapsed="false">
      <c r="A169" s="6" t="n">
        <v>45689</v>
      </c>
      <c r="B169" s="4" t="n">
        <f aca="false">YEAR(A169)</f>
        <v>2025</v>
      </c>
      <c r="C169" s="4" t="n">
        <f aca="false">MONTH(A169)</f>
        <v>2</v>
      </c>
      <c r="D169" s="4" t="s">
        <v>53</v>
      </c>
      <c r="E169" s="4" t="s">
        <v>54</v>
      </c>
      <c r="F169" s="7" t="n">
        <v>327133</v>
      </c>
      <c r="G169" s="7" t="n">
        <v>555617</v>
      </c>
      <c r="H169" s="8" t="n">
        <f aca="false">IF(F169="","",IF(E169="Revenue",F169-G169,G169-F169))</f>
        <v>228484</v>
      </c>
      <c r="I169" s="9" t="n">
        <f aca="false">IF(OR(F169="",G169=0),"",H169/G169)</f>
        <v>0.411225718435541</v>
      </c>
    </row>
    <row r="170" customFormat="false" ht="15" hidden="false" customHeight="false" outlineLevel="0" collapsed="false">
      <c r="A170" s="6" t="n">
        <v>45717</v>
      </c>
      <c r="B170" s="4" t="n">
        <f aca="false">YEAR(A170)</f>
        <v>2025</v>
      </c>
      <c r="C170" s="4" t="n">
        <f aca="false">MONTH(A170)</f>
        <v>3</v>
      </c>
      <c r="D170" s="4" t="s">
        <v>37</v>
      </c>
      <c r="E170" s="4" t="s">
        <v>38</v>
      </c>
      <c r="F170" s="7" t="n">
        <v>13732977</v>
      </c>
      <c r="G170" s="7" t="n">
        <v>14781069</v>
      </c>
      <c r="H170" s="8" t="n">
        <f aca="false">IF(F170="","",IF(E170="Revenue",F170-G170,G170-F170))</f>
        <v>-1048092</v>
      </c>
      <c r="I170" s="9" t="n">
        <f aca="false">IF(OR(F170="",G170=0),"",H170/G170)</f>
        <v>-0.0709077266333037</v>
      </c>
    </row>
    <row r="171" customFormat="false" ht="15" hidden="false" customHeight="false" outlineLevel="0" collapsed="false">
      <c r="A171" s="6" t="n">
        <v>45717</v>
      </c>
      <c r="B171" s="4" t="n">
        <f aca="false">YEAR(A171)</f>
        <v>2025</v>
      </c>
      <c r="C171" s="4" t="n">
        <f aca="false">MONTH(A171)</f>
        <v>3</v>
      </c>
      <c r="D171" s="4" t="s">
        <v>39</v>
      </c>
      <c r="E171" s="4" t="s">
        <v>38</v>
      </c>
      <c r="F171" s="7" t="n">
        <v>4988236</v>
      </c>
      <c r="G171" s="7" t="n">
        <v>4927023</v>
      </c>
      <c r="H171" s="8" t="n">
        <f aca="false">IF(F171="","",IF(E171="Revenue",F171-G171,G171-F171))</f>
        <v>61213</v>
      </c>
      <c r="I171" s="9" t="n">
        <f aca="false">IF(OR(F171="",G171=0),"",H171/G171)</f>
        <v>0.012423932260921</v>
      </c>
    </row>
    <row r="172" customFormat="false" ht="15" hidden="false" customHeight="false" outlineLevel="0" collapsed="false">
      <c r="A172" s="6" t="n">
        <v>45717</v>
      </c>
      <c r="B172" s="4" t="n">
        <f aca="false">YEAR(A172)</f>
        <v>2025</v>
      </c>
      <c r="C172" s="4" t="n">
        <f aca="false">MONTH(A172)</f>
        <v>3</v>
      </c>
      <c r="D172" s="4" t="s">
        <v>40</v>
      </c>
      <c r="E172" s="4" t="s">
        <v>41</v>
      </c>
      <c r="F172" s="7" t="n">
        <v>7386281</v>
      </c>
      <c r="G172" s="7" t="n">
        <v>7636886</v>
      </c>
      <c r="H172" s="8" t="n">
        <f aca="false">IF(F172="","",IF(E172="Revenue",F172-G172,G172-F172))</f>
        <v>250605</v>
      </c>
      <c r="I172" s="9" t="n">
        <f aca="false">IF(OR(F172="",G172=0),"",H172/G172)</f>
        <v>0.0328150767210614</v>
      </c>
    </row>
    <row r="173" customFormat="false" ht="15" hidden="false" customHeight="false" outlineLevel="0" collapsed="false">
      <c r="A173" s="6" t="n">
        <v>45717</v>
      </c>
      <c r="B173" s="4" t="n">
        <f aca="false">YEAR(A173)</f>
        <v>2025</v>
      </c>
      <c r="C173" s="4" t="n">
        <f aca="false">MONTH(A173)</f>
        <v>3</v>
      </c>
      <c r="D173" s="4" t="s">
        <v>42</v>
      </c>
      <c r="E173" s="4" t="s">
        <v>41</v>
      </c>
      <c r="F173" s="7" t="n">
        <v>1742320</v>
      </c>
      <c r="G173" s="7" t="n">
        <v>1724211</v>
      </c>
      <c r="H173" s="8" t="n">
        <f aca="false">IF(F173="","",IF(E173="Revenue",F173-G173,G173-F173))</f>
        <v>-18109</v>
      </c>
      <c r="I173" s="9" t="n">
        <f aca="false">IF(OR(F173="",G173=0),"",H173/G173)</f>
        <v>-0.0105027748924001</v>
      </c>
    </row>
    <row r="174" customFormat="false" ht="15" hidden="false" customHeight="false" outlineLevel="0" collapsed="false">
      <c r="A174" s="6" t="n">
        <v>45717</v>
      </c>
      <c r="B174" s="4" t="n">
        <f aca="false">YEAR(A174)</f>
        <v>2025</v>
      </c>
      <c r="C174" s="4" t="n">
        <f aca="false">MONTH(A174)</f>
        <v>3</v>
      </c>
      <c r="D174" s="4" t="s">
        <v>43</v>
      </c>
      <c r="E174" s="4" t="s">
        <v>44</v>
      </c>
      <c r="F174" s="7" t="n">
        <v>3927977</v>
      </c>
      <c r="G174" s="7" t="n">
        <v>3805746</v>
      </c>
      <c r="H174" s="8" t="n">
        <f aca="false">IF(F174="","",IF(E174="Revenue",F174-G174,G174-F174))</f>
        <v>-122231</v>
      </c>
      <c r="I174" s="9" t="n">
        <f aca="false">IF(OR(F174="",G174=0),"",H174/G174)</f>
        <v>-0.0321174876095252</v>
      </c>
    </row>
    <row r="175" customFormat="false" ht="15" hidden="false" customHeight="false" outlineLevel="0" collapsed="false">
      <c r="A175" s="6" t="n">
        <v>45717</v>
      </c>
      <c r="B175" s="4" t="n">
        <f aca="false">YEAR(A175)</f>
        <v>2025</v>
      </c>
      <c r="C175" s="4" t="n">
        <f aca="false">MONTH(A175)</f>
        <v>3</v>
      </c>
      <c r="D175" s="4" t="s">
        <v>45</v>
      </c>
      <c r="E175" s="4" t="s">
        <v>44</v>
      </c>
      <c r="F175" s="7" t="n">
        <v>1478595</v>
      </c>
      <c r="G175" s="7" t="n">
        <v>1379369</v>
      </c>
      <c r="H175" s="8" t="n">
        <f aca="false">IF(F175="","",IF(E175="Revenue",F175-G175,G175-F175))</f>
        <v>-99226</v>
      </c>
      <c r="I175" s="9" t="n">
        <f aca="false">IF(OR(F175="",G175=0),"",H175/G175)</f>
        <v>-0.0719357909304907</v>
      </c>
    </row>
    <row r="176" customFormat="false" ht="15" hidden="false" customHeight="false" outlineLevel="0" collapsed="false">
      <c r="A176" s="6" t="n">
        <v>45717</v>
      </c>
      <c r="B176" s="4" t="n">
        <f aca="false">YEAR(A176)</f>
        <v>2025</v>
      </c>
      <c r="C176" s="4" t="n">
        <f aca="false">MONTH(A176)</f>
        <v>3</v>
      </c>
      <c r="D176" s="4" t="s">
        <v>46</v>
      </c>
      <c r="E176" s="4" t="s">
        <v>44</v>
      </c>
      <c r="F176" s="7" t="n">
        <v>617020</v>
      </c>
      <c r="G176" s="7" t="n">
        <v>617020</v>
      </c>
      <c r="H176" s="8" t="n">
        <f aca="false">IF(F176="","",IF(E176="Revenue",F176-G176,G176-F176))</f>
        <v>0</v>
      </c>
      <c r="I176" s="9" t="n">
        <f aca="false">IF(OR(F176="",G176=0),"",H176/G176)</f>
        <v>0</v>
      </c>
    </row>
    <row r="177" customFormat="false" ht="15" hidden="false" customHeight="false" outlineLevel="0" collapsed="false">
      <c r="A177" s="6" t="n">
        <v>45717</v>
      </c>
      <c r="B177" s="4" t="n">
        <f aca="false">YEAR(A177)</f>
        <v>2025</v>
      </c>
      <c r="C177" s="4" t="n">
        <f aca="false">MONTH(A177)</f>
        <v>3</v>
      </c>
      <c r="D177" s="4" t="s">
        <v>47</v>
      </c>
      <c r="E177" s="4" t="s">
        <v>44</v>
      </c>
      <c r="F177" s="7" t="n">
        <v>535251</v>
      </c>
      <c r="G177" s="7" t="n">
        <v>503107</v>
      </c>
      <c r="H177" s="8" t="n">
        <f aca="false">IF(F177="","",IF(E177="Revenue",F177-G177,G177-F177))</f>
        <v>-32144</v>
      </c>
      <c r="I177" s="9" t="n">
        <f aca="false">IF(OR(F177="",G177=0),"",H177/G177)</f>
        <v>-0.0638909814413236</v>
      </c>
    </row>
    <row r="178" customFormat="false" ht="15" hidden="false" customHeight="false" outlineLevel="0" collapsed="false">
      <c r="A178" s="6" t="n">
        <v>45717</v>
      </c>
      <c r="B178" s="4" t="n">
        <f aca="false">YEAR(A178)</f>
        <v>2025</v>
      </c>
      <c r="C178" s="4" t="n">
        <f aca="false">MONTH(A178)</f>
        <v>3</v>
      </c>
      <c r="D178" s="4" t="s">
        <v>48</v>
      </c>
      <c r="E178" s="4" t="s">
        <v>44</v>
      </c>
      <c r="F178" s="7" t="n">
        <v>283070</v>
      </c>
      <c r="G178" s="7" t="n">
        <v>321696</v>
      </c>
      <c r="H178" s="8" t="n">
        <f aca="false">IF(F178="","",IF(E178="Revenue",F178-G178,G178-F178))</f>
        <v>38626</v>
      </c>
      <c r="I178" s="9" t="n">
        <f aca="false">IF(OR(F178="",G178=0),"",H178/G178)</f>
        <v>0.120069879637919</v>
      </c>
    </row>
    <row r="179" customFormat="false" ht="15" hidden="false" customHeight="false" outlineLevel="0" collapsed="false">
      <c r="A179" s="6" t="n">
        <v>45717</v>
      </c>
      <c r="B179" s="4" t="n">
        <f aca="false">YEAR(A179)</f>
        <v>2025</v>
      </c>
      <c r="C179" s="4" t="n">
        <f aca="false">MONTH(A179)</f>
        <v>3</v>
      </c>
      <c r="D179" s="4" t="s">
        <v>49</v>
      </c>
      <c r="E179" s="4" t="s">
        <v>50</v>
      </c>
      <c r="F179" s="7" t="n">
        <v>417131</v>
      </c>
      <c r="G179" s="7" t="n">
        <v>417131</v>
      </c>
      <c r="H179" s="8" t="n">
        <f aca="false">IF(F179="","",IF(E179="Revenue",F179-G179,G179-F179))</f>
        <v>0</v>
      </c>
      <c r="I179" s="9" t="n">
        <f aca="false">IF(OR(F179="",G179=0),"",H179/G179)</f>
        <v>0</v>
      </c>
    </row>
    <row r="180" customFormat="false" ht="15" hidden="false" customHeight="false" outlineLevel="0" collapsed="false">
      <c r="A180" s="6" t="n">
        <v>45717</v>
      </c>
      <c r="B180" s="4" t="n">
        <f aca="false">YEAR(A180)</f>
        <v>2025</v>
      </c>
      <c r="C180" s="4" t="n">
        <f aca="false">MONTH(A180)</f>
        <v>3</v>
      </c>
      <c r="D180" s="4" t="s">
        <v>51</v>
      </c>
      <c r="E180" s="4" t="s">
        <v>52</v>
      </c>
      <c r="F180" s="7" t="n">
        <v>262751</v>
      </c>
      <c r="G180" s="7" t="n">
        <v>250000</v>
      </c>
      <c r="H180" s="8" t="n">
        <f aca="false">IF(F180="","",IF(E180="Revenue",F180-G180,G180-F180))</f>
        <v>-12751</v>
      </c>
      <c r="I180" s="9" t="n">
        <f aca="false">IF(OR(F180="",G180=0),"",H180/G180)</f>
        <v>-0.051004</v>
      </c>
    </row>
    <row r="181" customFormat="false" ht="15" hidden="false" customHeight="false" outlineLevel="0" collapsed="false">
      <c r="A181" s="6" t="n">
        <v>45717</v>
      </c>
      <c r="B181" s="4" t="n">
        <f aca="false">YEAR(A181)</f>
        <v>2025</v>
      </c>
      <c r="C181" s="4" t="n">
        <f aca="false">MONTH(A181)</f>
        <v>3</v>
      </c>
      <c r="D181" s="4" t="s">
        <v>53</v>
      </c>
      <c r="E181" s="4" t="s">
        <v>54</v>
      </c>
      <c r="F181" s="7" t="n">
        <v>517704</v>
      </c>
      <c r="G181" s="7" t="n">
        <v>763233</v>
      </c>
      <c r="H181" s="8" t="n">
        <f aca="false">IF(F181="","",IF(E181="Revenue",F181-G181,G181-F181))</f>
        <v>245529</v>
      </c>
      <c r="I181" s="9" t="n">
        <f aca="false">IF(OR(F181="",G181=0),"",H181/G181)</f>
        <v>0.321695995849236</v>
      </c>
    </row>
    <row r="182" customFormat="false" ht="15" hidden="false" customHeight="false" outlineLevel="0" collapsed="false">
      <c r="A182" s="6" t="n">
        <v>45748</v>
      </c>
      <c r="B182" s="4" t="n">
        <f aca="false">YEAR(A182)</f>
        <v>2025</v>
      </c>
      <c r="C182" s="4" t="n">
        <f aca="false">MONTH(A182)</f>
        <v>4</v>
      </c>
      <c r="D182" s="4" t="s">
        <v>37</v>
      </c>
      <c r="E182" s="4" t="s">
        <v>38</v>
      </c>
      <c r="F182" s="7" t="n">
        <v>14796340</v>
      </c>
      <c r="G182" s="7" t="n">
        <v>15902953</v>
      </c>
      <c r="H182" s="8" t="n">
        <f aca="false">IF(F182="","",IF(E182="Revenue",F182-G182,G182-F182))</f>
        <v>-1106613</v>
      </c>
      <c r="I182" s="9" t="n">
        <f aca="false">IF(OR(F182="",G182=0),"",H182/G182)</f>
        <v>-0.0695853782627667</v>
      </c>
    </row>
    <row r="183" customFormat="false" ht="15" hidden="false" customHeight="false" outlineLevel="0" collapsed="false">
      <c r="A183" s="6" t="n">
        <v>45748</v>
      </c>
      <c r="B183" s="4" t="n">
        <f aca="false">YEAR(A183)</f>
        <v>2025</v>
      </c>
      <c r="C183" s="4" t="n">
        <f aca="false">MONTH(A183)</f>
        <v>4</v>
      </c>
      <c r="D183" s="4" t="s">
        <v>39</v>
      </c>
      <c r="E183" s="4" t="s">
        <v>38</v>
      </c>
      <c r="F183" s="7" t="n">
        <v>5281179</v>
      </c>
      <c r="G183" s="7" t="n">
        <v>5300984</v>
      </c>
      <c r="H183" s="8" t="n">
        <f aca="false">IF(F183="","",IF(E183="Revenue",F183-G183,G183-F183))</f>
        <v>-19805</v>
      </c>
      <c r="I183" s="9" t="n">
        <f aca="false">IF(OR(F183="",G183=0),"",H183/G183)</f>
        <v>-0.00373609880731577</v>
      </c>
    </row>
    <row r="184" customFormat="false" ht="15" hidden="false" customHeight="false" outlineLevel="0" collapsed="false">
      <c r="A184" s="6" t="n">
        <v>45748</v>
      </c>
      <c r="B184" s="4" t="n">
        <f aca="false">YEAR(A184)</f>
        <v>2025</v>
      </c>
      <c r="C184" s="4" t="n">
        <f aca="false">MONTH(A184)</f>
        <v>4</v>
      </c>
      <c r="D184" s="4" t="s">
        <v>40</v>
      </c>
      <c r="E184" s="4" t="s">
        <v>41</v>
      </c>
      <c r="F184" s="7" t="n">
        <v>7969680</v>
      </c>
      <c r="G184" s="7" t="n">
        <v>8216526</v>
      </c>
      <c r="H184" s="8" t="n">
        <f aca="false">IF(F184="","",IF(E184="Revenue",F184-G184,G184-F184))</f>
        <v>246846</v>
      </c>
      <c r="I184" s="9" t="n">
        <f aca="false">IF(OR(F184="",G184=0),"",H184/G184)</f>
        <v>0.0300426238534388</v>
      </c>
    </row>
    <row r="185" customFormat="false" ht="15" hidden="false" customHeight="false" outlineLevel="0" collapsed="false">
      <c r="A185" s="6" t="n">
        <v>45748</v>
      </c>
      <c r="B185" s="4" t="n">
        <f aca="false">YEAR(A185)</f>
        <v>2025</v>
      </c>
      <c r="C185" s="4" t="n">
        <f aca="false">MONTH(A185)</f>
        <v>4</v>
      </c>
      <c r="D185" s="4" t="s">
        <v>42</v>
      </c>
      <c r="E185" s="4" t="s">
        <v>41</v>
      </c>
      <c r="F185" s="7" t="n">
        <v>1760701</v>
      </c>
      <c r="G185" s="7" t="n">
        <v>1741453</v>
      </c>
      <c r="H185" s="8" t="n">
        <f aca="false">IF(F185="","",IF(E185="Revenue",F185-G185,G185-F185))</f>
        <v>-19248</v>
      </c>
      <c r="I185" s="9" t="n">
        <f aca="false">IF(OR(F185="",G185=0),"",H185/G185)</f>
        <v>-0.0110528392095566</v>
      </c>
    </row>
    <row r="186" customFormat="false" ht="15" hidden="false" customHeight="false" outlineLevel="0" collapsed="false">
      <c r="A186" s="6" t="n">
        <v>45748</v>
      </c>
      <c r="B186" s="4" t="n">
        <f aca="false">YEAR(A186)</f>
        <v>2025</v>
      </c>
      <c r="C186" s="4" t="n">
        <f aca="false">MONTH(A186)</f>
        <v>4</v>
      </c>
      <c r="D186" s="4" t="s">
        <v>43</v>
      </c>
      <c r="E186" s="4" t="s">
        <v>44</v>
      </c>
      <c r="F186" s="7" t="n">
        <v>3951450</v>
      </c>
      <c r="G186" s="7" t="n">
        <v>3828580</v>
      </c>
      <c r="H186" s="8" t="n">
        <f aca="false">IF(F186="","",IF(E186="Revenue",F186-G186,G186-F186))</f>
        <v>-122870</v>
      </c>
      <c r="I186" s="9" t="n">
        <f aca="false">IF(OR(F186="",G186=0),"",H186/G186)</f>
        <v>-0.0320928385981225</v>
      </c>
    </row>
    <row r="187" customFormat="false" ht="15" hidden="false" customHeight="false" outlineLevel="0" collapsed="false">
      <c r="A187" s="6" t="n">
        <v>45748</v>
      </c>
      <c r="B187" s="4" t="n">
        <f aca="false">YEAR(A187)</f>
        <v>2025</v>
      </c>
      <c r="C187" s="4" t="n">
        <f aca="false">MONTH(A187)</f>
        <v>4</v>
      </c>
      <c r="D187" s="4" t="s">
        <v>45</v>
      </c>
      <c r="E187" s="4" t="s">
        <v>44</v>
      </c>
      <c r="F187" s="7" t="n">
        <v>1498683</v>
      </c>
      <c r="G187" s="7" t="n">
        <v>1393163</v>
      </c>
      <c r="H187" s="8" t="n">
        <f aca="false">IF(F187="","",IF(E187="Revenue",F187-G187,G187-F187))</f>
        <v>-105520</v>
      </c>
      <c r="I187" s="9" t="n">
        <f aca="false">IF(OR(F187="",G187=0),"",H187/G187)</f>
        <v>-0.0757413167016351</v>
      </c>
    </row>
    <row r="188" customFormat="false" ht="15" hidden="false" customHeight="false" outlineLevel="0" collapsed="false">
      <c r="A188" s="6" t="n">
        <v>45748</v>
      </c>
      <c r="B188" s="4" t="n">
        <f aca="false">YEAR(A188)</f>
        <v>2025</v>
      </c>
      <c r="C188" s="4" t="n">
        <f aca="false">MONTH(A188)</f>
        <v>4</v>
      </c>
      <c r="D188" s="4" t="s">
        <v>46</v>
      </c>
      <c r="E188" s="4" t="s">
        <v>44</v>
      </c>
      <c r="F188" s="7" t="n">
        <v>618254</v>
      </c>
      <c r="G188" s="7" t="n">
        <v>618254</v>
      </c>
      <c r="H188" s="8" t="n">
        <f aca="false">IF(F188="","",IF(E188="Revenue",F188-G188,G188-F188))</f>
        <v>0</v>
      </c>
      <c r="I188" s="9" t="n">
        <f aca="false">IF(OR(F188="",G188=0),"",H188/G188)</f>
        <v>0</v>
      </c>
    </row>
    <row r="189" customFormat="false" ht="15" hidden="false" customHeight="false" outlineLevel="0" collapsed="false">
      <c r="A189" s="6" t="n">
        <v>45748</v>
      </c>
      <c r="B189" s="4" t="n">
        <f aca="false">YEAR(A189)</f>
        <v>2025</v>
      </c>
      <c r="C189" s="4" t="n">
        <f aca="false">MONTH(A189)</f>
        <v>4</v>
      </c>
      <c r="D189" s="4" t="s">
        <v>47</v>
      </c>
      <c r="E189" s="4" t="s">
        <v>44</v>
      </c>
      <c r="F189" s="7" t="n">
        <v>540192</v>
      </c>
      <c r="G189" s="7" t="n">
        <v>507131</v>
      </c>
      <c r="H189" s="8" t="n">
        <f aca="false">IF(F189="","",IF(E189="Revenue",F189-G189,G189-F189))</f>
        <v>-33061</v>
      </c>
      <c r="I189" s="9" t="n">
        <f aca="false">IF(OR(F189="",G189=0),"",H189/G189)</f>
        <v>-0.065192228438017</v>
      </c>
    </row>
    <row r="190" customFormat="false" ht="15" hidden="false" customHeight="false" outlineLevel="0" collapsed="false">
      <c r="A190" s="6" t="n">
        <v>45748</v>
      </c>
      <c r="B190" s="4" t="n">
        <f aca="false">YEAR(A190)</f>
        <v>2025</v>
      </c>
      <c r="C190" s="4" t="n">
        <f aca="false">MONTH(A190)</f>
        <v>4</v>
      </c>
      <c r="D190" s="4" t="s">
        <v>48</v>
      </c>
      <c r="E190" s="4" t="s">
        <v>44</v>
      </c>
      <c r="F190" s="7" t="n">
        <v>284770</v>
      </c>
      <c r="G190" s="7" t="n">
        <v>323304</v>
      </c>
      <c r="H190" s="8" t="n">
        <f aca="false">IF(F190="","",IF(E190="Revenue",F190-G190,G190-F190))</f>
        <v>38534</v>
      </c>
      <c r="I190" s="9" t="n">
        <f aca="false">IF(OR(F190="",G190=0),"",H190/G190)</f>
        <v>0.119188132531611</v>
      </c>
    </row>
    <row r="191" customFormat="false" ht="15" hidden="false" customHeight="false" outlineLevel="0" collapsed="false">
      <c r="A191" s="6" t="n">
        <v>45748</v>
      </c>
      <c r="B191" s="4" t="n">
        <f aca="false">YEAR(A191)</f>
        <v>2025</v>
      </c>
      <c r="C191" s="4" t="n">
        <f aca="false">MONTH(A191)</f>
        <v>4</v>
      </c>
      <c r="D191" s="4" t="s">
        <v>49</v>
      </c>
      <c r="E191" s="4" t="s">
        <v>50</v>
      </c>
      <c r="F191" s="7" t="n">
        <v>418383</v>
      </c>
      <c r="G191" s="7" t="n">
        <v>418383</v>
      </c>
      <c r="H191" s="8" t="n">
        <f aca="false">IF(F191="","",IF(E191="Revenue",F191-G191,G191-F191))</f>
        <v>0</v>
      </c>
      <c r="I191" s="9" t="n">
        <f aca="false">IF(OR(F191="",G191=0),"",H191/G191)</f>
        <v>0</v>
      </c>
    </row>
    <row r="192" customFormat="false" ht="15" hidden="false" customHeight="false" outlineLevel="0" collapsed="false">
      <c r="A192" s="6" t="n">
        <v>45748</v>
      </c>
      <c r="B192" s="4" t="n">
        <f aca="false">YEAR(A192)</f>
        <v>2025</v>
      </c>
      <c r="C192" s="4" t="n">
        <f aca="false">MONTH(A192)</f>
        <v>4</v>
      </c>
      <c r="D192" s="4" t="s">
        <v>51</v>
      </c>
      <c r="E192" s="4" t="s">
        <v>52</v>
      </c>
      <c r="F192" s="7" t="n">
        <v>263126</v>
      </c>
      <c r="G192" s="7" t="n">
        <v>250000</v>
      </c>
      <c r="H192" s="8" t="n">
        <f aca="false">IF(F192="","",IF(E192="Revenue",F192-G192,G192-F192))</f>
        <v>-13126</v>
      </c>
      <c r="I192" s="9" t="n">
        <f aca="false">IF(OR(F192="",G192=0),"",H192/G192)</f>
        <v>-0.052504</v>
      </c>
    </row>
    <row r="193" customFormat="false" ht="15" hidden="false" customHeight="false" outlineLevel="0" collapsed="false">
      <c r="A193" s="6" t="n">
        <v>45748</v>
      </c>
      <c r="B193" s="4" t="n">
        <f aca="false">YEAR(A193)</f>
        <v>2025</v>
      </c>
      <c r="C193" s="4" t="n">
        <f aca="false">MONTH(A193)</f>
        <v>4</v>
      </c>
      <c r="D193" s="4" t="s">
        <v>53</v>
      </c>
      <c r="E193" s="4" t="s">
        <v>54</v>
      </c>
      <c r="F193" s="7" t="n">
        <v>693070</v>
      </c>
      <c r="G193" s="7" t="n">
        <v>976786</v>
      </c>
      <c r="H193" s="8" t="n">
        <f aca="false">IF(F193="","",IF(E193="Revenue",F193-G193,G193-F193))</f>
        <v>283716</v>
      </c>
      <c r="I193" s="9" t="n">
        <f aca="false">IF(OR(F193="",G193=0),"",H193/G193)</f>
        <v>0.290458708458147</v>
      </c>
    </row>
    <row r="194" customFormat="false" ht="15" hidden="false" customHeight="false" outlineLevel="0" collapsed="false">
      <c r="A194" s="6" t="n">
        <v>45778</v>
      </c>
      <c r="B194" s="4" t="n">
        <f aca="false">YEAR(A194)</f>
        <v>2025</v>
      </c>
      <c r="C194" s="4" t="n">
        <f aca="false">MONTH(A194)</f>
        <v>5</v>
      </c>
      <c r="D194" s="4" t="s">
        <v>37</v>
      </c>
      <c r="E194" s="4" t="s">
        <v>38</v>
      </c>
      <c r="F194" s="7" t="n">
        <v>15716759</v>
      </c>
      <c r="G194" s="7" t="n">
        <v>16810349</v>
      </c>
      <c r="H194" s="8" t="n">
        <f aca="false">IF(F194="","",IF(E194="Revenue",F194-G194,G194-F194))</f>
        <v>-1093590</v>
      </c>
      <c r="I194" s="9" t="n">
        <f aca="false">IF(OR(F194="",G194=0),"",H194/G194)</f>
        <v>-0.0650545684685071</v>
      </c>
    </row>
    <row r="195" customFormat="false" ht="15" hidden="false" customHeight="false" outlineLevel="0" collapsed="false">
      <c r="A195" s="6" t="n">
        <v>45778</v>
      </c>
      <c r="B195" s="4" t="n">
        <f aca="false">YEAR(A195)</f>
        <v>2025</v>
      </c>
      <c r="C195" s="4" t="n">
        <f aca="false">MONTH(A195)</f>
        <v>5</v>
      </c>
      <c r="D195" s="4" t="s">
        <v>39</v>
      </c>
      <c r="E195" s="4" t="s">
        <v>38</v>
      </c>
      <c r="F195" s="7" t="n">
        <v>5634582</v>
      </c>
      <c r="G195" s="7" t="n">
        <v>5603449</v>
      </c>
      <c r="H195" s="8" t="n">
        <f aca="false">IF(F195="","",IF(E195="Revenue",F195-G195,G195-F195))</f>
        <v>31133</v>
      </c>
      <c r="I195" s="9" t="n">
        <f aca="false">IF(OR(F195="",G195=0),"",H195/G195)</f>
        <v>0.00555604235891145</v>
      </c>
    </row>
    <row r="196" customFormat="false" ht="15" hidden="false" customHeight="false" outlineLevel="0" collapsed="false">
      <c r="A196" s="6" t="n">
        <v>45778</v>
      </c>
      <c r="B196" s="4" t="n">
        <f aca="false">YEAR(A196)</f>
        <v>2025</v>
      </c>
      <c r="C196" s="4" t="n">
        <f aca="false">MONTH(A196)</f>
        <v>5</v>
      </c>
      <c r="D196" s="4" t="s">
        <v>40</v>
      </c>
      <c r="E196" s="4" t="s">
        <v>41</v>
      </c>
      <c r="F196" s="7" t="n">
        <v>8477620</v>
      </c>
      <c r="G196" s="7" t="n">
        <v>8685347</v>
      </c>
      <c r="H196" s="8" t="n">
        <f aca="false">IF(F196="","",IF(E196="Revenue",F196-G196,G196-F196))</f>
        <v>207727</v>
      </c>
      <c r="I196" s="9" t="n">
        <f aca="false">IF(OR(F196="",G196=0),"",H196/G196)</f>
        <v>0.0239169488565051</v>
      </c>
    </row>
    <row r="197" customFormat="false" ht="15" hidden="false" customHeight="false" outlineLevel="0" collapsed="false">
      <c r="A197" s="6" t="n">
        <v>45778</v>
      </c>
      <c r="B197" s="4" t="n">
        <f aca="false">YEAR(A197)</f>
        <v>2025</v>
      </c>
      <c r="C197" s="4" t="n">
        <f aca="false">MONTH(A197)</f>
        <v>5</v>
      </c>
      <c r="D197" s="4" t="s">
        <v>42</v>
      </c>
      <c r="E197" s="4" t="s">
        <v>41</v>
      </c>
      <c r="F197" s="7" t="n">
        <v>1781624</v>
      </c>
      <c r="G197" s="7" t="n">
        <v>1758867</v>
      </c>
      <c r="H197" s="8" t="n">
        <f aca="false">IF(F197="","",IF(E197="Revenue",F197-G197,G197-F197))</f>
        <v>-22757</v>
      </c>
      <c r="I197" s="9" t="n">
        <f aca="false">IF(OR(F197="",G197=0),"",H197/G197)</f>
        <v>-0.0129384427588897</v>
      </c>
    </row>
    <row r="198" customFormat="false" ht="15" hidden="false" customHeight="false" outlineLevel="0" collapsed="false">
      <c r="A198" s="6" t="n">
        <v>45778</v>
      </c>
      <c r="B198" s="4" t="n">
        <f aca="false">YEAR(A198)</f>
        <v>2025</v>
      </c>
      <c r="C198" s="4" t="n">
        <f aca="false">MONTH(A198)</f>
        <v>5</v>
      </c>
      <c r="D198" s="4" t="s">
        <v>43</v>
      </c>
      <c r="E198" s="4" t="s">
        <v>44</v>
      </c>
      <c r="F198" s="7" t="n">
        <v>3977565</v>
      </c>
      <c r="G198" s="7" t="n">
        <v>3851553</v>
      </c>
      <c r="H198" s="8" t="n">
        <f aca="false">IF(F198="","",IF(E198="Revenue",F198-G198,G198-F198))</f>
        <v>-126012</v>
      </c>
      <c r="I198" s="9" t="n">
        <f aca="false">IF(OR(F198="",G198=0),"",H198/G198)</f>
        <v>-0.0327171922598495</v>
      </c>
    </row>
    <row r="199" customFormat="false" ht="15" hidden="false" customHeight="false" outlineLevel="0" collapsed="false">
      <c r="A199" s="6" t="n">
        <v>45778</v>
      </c>
      <c r="B199" s="4" t="n">
        <f aca="false">YEAR(A199)</f>
        <v>2025</v>
      </c>
      <c r="C199" s="4" t="n">
        <f aca="false">MONTH(A199)</f>
        <v>5</v>
      </c>
      <c r="D199" s="4" t="s">
        <v>45</v>
      </c>
      <c r="E199" s="4" t="s">
        <v>44</v>
      </c>
      <c r="F199" s="7" t="n">
        <v>1519988</v>
      </c>
      <c r="G199" s="7" t="n">
        <v>1407094</v>
      </c>
      <c r="H199" s="8" t="n">
        <f aca="false">IF(F199="","",IF(E199="Revenue",F199-G199,G199-F199))</f>
        <v>-112894</v>
      </c>
      <c r="I199" s="9" t="n">
        <f aca="false">IF(OR(F199="",G199=0),"",H199/G199)</f>
        <v>-0.080232024299727</v>
      </c>
    </row>
    <row r="200" customFormat="false" ht="15" hidden="false" customHeight="false" outlineLevel="0" collapsed="false">
      <c r="A200" s="6" t="n">
        <v>45778</v>
      </c>
      <c r="B200" s="4" t="n">
        <f aca="false">YEAR(A200)</f>
        <v>2025</v>
      </c>
      <c r="C200" s="4" t="n">
        <f aca="false">MONTH(A200)</f>
        <v>5</v>
      </c>
      <c r="D200" s="4" t="s">
        <v>46</v>
      </c>
      <c r="E200" s="4" t="s">
        <v>44</v>
      </c>
      <c r="F200" s="7" t="n">
        <v>619491</v>
      </c>
      <c r="G200" s="7" t="n">
        <v>619491</v>
      </c>
      <c r="H200" s="8" t="n">
        <f aca="false">IF(F200="","",IF(E200="Revenue",F200-G200,G200-F200))</f>
        <v>0</v>
      </c>
      <c r="I200" s="9" t="n">
        <f aca="false">IF(OR(F200="",G200=0),"",H200/G200)</f>
        <v>0</v>
      </c>
    </row>
    <row r="201" customFormat="false" ht="15" hidden="false" customHeight="false" outlineLevel="0" collapsed="false">
      <c r="A201" s="6" t="n">
        <v>45778</v>
      </c>
      <c r="B201" s="4" t="n">
        <f aca="false">YEAR(A201)</f>
        <v>2025</v>
      </c>
      <c r="C201" s="4" t="n">
        <f aca="false">MONTH(A201)</f>
        <v>5</v>
      </c>
      <c r="D201" s="4" t="s">
        <v>47</v>
      </c>
      <c r="E201" s="4" t="s">
        <v>44</v>
      </c>
      <c r="F201" s="7" t="n">
        <v>545863</v>
      </c>
      <c r="G201" s="7" t="n">
        <v>511189</v>
      </c>
      <c r="H201" s="8" t="n">
        <f aca="false">IF(F201="","",IF(E201="Revenue",F201-G201,G201-F201))</f>
        <v>-34674</v>
      </c>
      <c r="I201" s="9" t="n">
        <f aca="false">IF(OR(F201="",G201=0),"",H201/G201)</f>
        <v>-0.0678300980654905</v>
      </c>
    </row>
    <row r="202" customFormat="false" ht="15" hidden="false" customHeight="false" outlineLevel="0" collapsed="false">
      <c r="A202" s="6" t="n">
        <v>45778</v>
      </c>
      <c r="B202" s="4" t="n">
        <f aca="false">YEAR(A202)</f>
        <v>2025</v>
      </c>
      <c r="C202" s="4" t="n">
        <f aca="false">MONTH(A202)</f>
        <v>5</v>
      </c>
      <c r="D202" s="4" t="s">
        <v>48</v>
      </c>
      <c r="E202" s="4" t="s">
        <v>44</v>
      </c>
      <c r="F202" s="7" t="n">
        <v>286720</v>
      </c>
      <c r="G202" s="7" t="n">
        <v>324920</v>
      </c>
      <c r="H202" s="8" t="n">
        <f aca="false">IF(F202="","",IF(E202="Revenue",F202-G202,G202-F202))</f>
        <v>38200</v>
      </c>
      <c r="I202" s="9" t="n">
        <f aca="false">IF(OR(F202="",G202=0),"",H202/G202)</f>
        <v>0.117567401206451</v>
      </c>
    </row>
    <row r="203" customFormat="false" ht="15" hidden="false" customHeight="false" outlineLevel="0" collapsed="false">
      <c r="A203" s="6" t="n">
        <v>45778</v>
      </c>
      <c r="B203" s="4" t="n">
        <f aca="false">YEAR(A203)</f>
        <v>2025</v>
      </c>
      <c r="C203" s="4" t="n">
        <f aca="false">MONTH(A203)</f>
        <v>5</v>
      </c>
      <c r="D203" s="4" t="s">
        <v>49</v>
      </c>
      <c r="E203" s="4" t="s">
        <v>50</v>
      </c>
      <c r="F203" s="7" t="n">
        <v>419638</v>
      </c>
      <c r="G203" s="7" t="n">
        <v>419638</v>
      </c>
      <c r="H203" s="8" t="n">
        <f aca="false">IF(F203="","",IF(E203="Revenue",F203-G203,G203-F203))</f>
        <v>0</v>
      </c>
      <c r="I203" s="9" t="n">
        <f aca="false">IF(OR(F203="",G203=0),"",H203/G203)</f>
        <v>0</v>
      </c>
    </row>
    <row r="204" customFormat="false" ht="15" hidden="false" customHeight="false" outlineLevel="0" collapsed="false">
      <c r="A204" s="6" t="n">
        <v>45778</v>
      </c>
      <c r="B204" s="4" t="n">
        <f aca="false">YEAR(A204)</f>
        <v>2025</v>
      </c>
      <c r="C204" s="4" t="n">
        <f aca="false">MONTH(A204)</f>
        <v>5</v>
      </c>
      <c r="D204" s="4" t="s">
        <v>51</v>
      </c>
      <c r="E204" s="4" t="s">
        <v>52</v>
      </c>
      <c r="F204" s="7" t="n">
        <v>263500</v>
      </c>
      <c r="G204" s="7" t="n">
        <v>250000</v>
      </c>
      <c r="H204" s="8" t="n">
        <f aca="false">IF(F204="","",IF(E204="Revenue",F204-G204,G204-F204))</f>
        <v>-13500</v>
      </c>
      <c r="I204" s="9" t="n">
        <f aca="false">IF(OR(F204="",G204=0),"",H204/G204)</f>
        <v>-0.054</v>
      </c>
    </row>
    <row r="205" customFormat="false" ht="15" hidden="false" customHeight="false" outlineLevel="0" collapsed="false">
      <c r="A205" s="6" t="n">
        <v>45778</v>
      </c>
      <c r="B205" s="4" t="n">
        <f aca="false">YEAR(A205)</f>
        <v>2025</v>
      </c>
      <c r="C205" s="4" t="n">
        <f aca="false">MONTH(A205)</f>
        <v>5</v>
      </c>
      <c r="D205" s="4" t="s">
        <v>53</v>
      </c>
      <c r="E205" s="4" t="s">
        <v>54</v>
      </c>
      <c r="F205" s="7" t="n">
        <v>864834</v>
      </c>
      <c r="G205" s="7" t="n">
        <v>1146426</v>
      </c>
      <c r="H205" s="8" t="n">
        <f aca="false">IF(F205="","",IF(E205="Revenue",F205-G205,G205-F205))</f>
        <v>281592</v>
      </c>
      <c r="I205" s="9" t="n">
        <f aca="false">IF(OR(F205="",G205=0),"",H205/G205)</f>
        <v>0.245625971497506</v>
      </c>
    </row>
    <row r="206" customFormat="false" ht="15" hidden="false" customHeight="false" outlineLevel="0" collapsed="false">
      <c r="A206" s="6" t="n">
        <v>45809</v>
      </c>
      <c r="B206" s="4" t="n">
        <f aca="false">YEAR(A206)</f>
        <v>2025</v>
      </c>
      <c r="C206" s="4" t="n">
        <f aca="false">MONTH(A206)</f>
        <v>6</v>
      </c>
      <c r="D206" s="4" t="s">
        <v>37</v>
      </c>
      <c r="E206" s="4" t="s">
        <v>38</v>
      </c>
      <c r="F206" s="7" t="n">
        <v>16050282</v>
      </c>
      <c r="G206" s="7" t="n">
        <v>17310993</v>
      </c>
      <c r="H206" s="8" t="n">
        <f aca="false">IF(F206="","",IF(E206="Revenue",F206-G206,G206-F206))</f>
        <v>-1260711</v>
      </c>
      <c r="I206" s="9" t="n">
        <f aca="false">IF(OR(F206="",G206=0),"",H206/G206)</f>
        <v>-0.0728271913690913</v>
      </c>
    </row>
    <row r="207" customFormat="false" ht="15" hidden="false" customHeight="false" outlineLevel="0" collapsed="false">
      <c r="A207" s="6" t="n">
        <v>45809</v>
      </c>
      <c r="B207" s="4" t="n">
        <f aca="false">YEAR(A207)</f>
        <v>2025</v>
      </c>
      <c r="C207" s="4" t="n">
        <f aca="false">MONTH(A207)</f>
        <v>6</v>
      </c>
      <c r="D207" s="4" t="s">
        <v>39</v>
      </c>
      <c r="E207" s="4" t="s">
        <v>38</v>
      </c>
      <c r="F207" s="7" t="n">
        <v>5831532</v>
      </c>
      <c r="G207" s="7" t="n">
        <v>5770331</v>
      </c>
      <c r="H207" s="8" t="n">
        <f aca="false">IF(F207="","",IF(E207="Revenue",F207-G207,G207-F207))</f>
        <v>61201</v>
      </c>
      <c r="I207" s="9" t="n">
        <f aca="false">IF(OR(F207="",G207=0),"",H207/G207)</f>
        <v>0.010606150669693</v>
      </c>
    </row>
    <row r="208" customFormat="false" ht="15" hidden="false" customHeight="false" outlineLevel="0" collapsed="false">
      <c r="A208" s="6" t="n">
        <v>45809</v>
      </c>
      <c r="B208" s="4" t="n">
        <f aca="false">YEAR(A208)</f>
        <v>2025</v>
      </c>
      <c r="C208" s="4" t="n">
        <f aca="false">MONTH(A208)</f>
        <v>6</v>
      </c>
      <c r="D208" s="4" t="s">
        <v>40</v>
      </c>
      <c r="E208" s="4" t="s">
        <v>41</v>
      </c>
      <c r="F208" s="7" t="n">
        <v>8669962</v>
      </c>
      <c r="G208" s="7" t="n">
        <v>8944013</v>
      </c>
      <c r="H208" s="8" t="n">
        <f aca="false">IF(F208="","",IF(E208="Revenue",F208-G208,G208-F208))</f>
        <v>274051</v>
      </c>
      <c r="I208" s="9" t="n">
        <f aca="false">IF(OR(F208="",G208=0),"",H208/G208)</f>
        <v>0.0306407202225668</v>
      </c>
    </row>
    <row r="209" customFormat="false" ht="15" hidden="false" customHeight="false" outlineLevel="0" collapsed="false">
      <c r="A209" s="6" t="n">
        <v>45809</v>
      </c>
      <c r="B209" s="4" t="n">
        <f aca="false">YEAR(A209)</f>
        <v>2025</v>
      </c>
      <c r="C209" s="4" t="n">
        <f aca="false">MONTH(A209)</f>
        <v>6</v>
      </c>
      <c r="D209" s="4" t="s">
        <v>42</v>
      </c>
      <c r="E209" s="4" t="s">
        <v>41</v>
      </c>
      <c r="F209" s="7" t="n">
        <v>1793695</v>
      </c>
      <c r="G209" s="7" t="n">
        <v>1776456</v>
      </c>
      <c r="H209" s="8" t="n">
        <f aca="false">IF(F209="","",IF(E209="Revenue",F209-G209,G209-F209))</f>
        <v>-17239</v>
      </c>
      <c r="I209" s="9" t="n">
        <f aca="false">IF(OR(F209="",G209=0),"",H209/G209)</f>
        <v>-0.00970415253741157</v>
      </c>
    </row>
    <row r="210" customFormat="false" ht="15" hidden="false" customHeight="false" outlineLevel="0" collapsed="false">
      <c r="A210" s="6" t="n">
        <v>45809</v>
      </c>
      <c r="B210" s="4" t="n">
        <f aca="false">YEAR(A210)</f>
        <v>2025</v>
      </c>
      <c r="C210" s="4" t="n">
        <f aca="false">MONTH(A210)</f>
        <v>6</v>
      </c>
      <c r="D210" s="4" t="s">
        <v>43</v>
      </c>
      <c r="E210" s="4" t="s">
        <v>44</v>
      </c>
      <c r="F210" s="7" t="n">
        <v>4001325</v>
      </c>
      <c r="G210" s="7" t="n">
        <v>3874660</v>
      </c>
      <c r="H210" s="8" t="n">
        <f aca="false">IF(F210="","",IF(E210="Revenue",F210-G210,G210-F210))</f>
        <v>-126665</v>
      </c>
      <c r="I210" s="9" t="n">
        <f aca="false">IF(OR(F210="",G210=0),"",H210/G210)</f>
        <v>-0.0326906102729014</v>
      </c>
    </row>
    <row r="211" customFormat="false" ht="15" hidden="false" customHeight="false" outlineLevel="0" collapsed="false">
      <c r="A211" s="6" t="n">
        <v>45809</v>
      </c>
      <c r="B211" s="4" t="n">
        <f aca="false">YEAR(A211)</f>
        <v>2025</v>
      </c>
      <c r="C211" s="4" t="n">
        <f aca="false">MONTH(A211)</f>
        <v>6</v>
      </c>
      <c r="D211" s="4" t="s">
        <v>45</v>
      </c>
      <c r="E211" s="4" t="s">
        <v>44</v>
      </c>
      <c r="F211" s="7" t="n">
        <v>1538677</v>
      </c>
      <c r="G211" s="7" t="n">
        <v>1421166</v>
      </c>
      <c r="H211" s="8" t="n">
        <f aca="false">IF(F211="","",IF(E211="Revenue",F211-G211,G211-F211))</f>
        <v>-117511</v>
      </c>
      <c r="I211" s="9" t="n">
        <f aca="false">IF(OR(F211="",G211=0),"",H211/G211)</f>
        <v>-0.0826863293943143</v>
      </c>
    </row>
    <row r="212" customFormat="false" ht="15" hidden="false" customHeight="false" outlineLevel="0" collapsed="false">
      <c r="A212" s="6" t="n">
        <v>45809</v>
      </c>
      <c r="B212" s="4" t="n">
        <f aca="false">YEAR(A212)</f>
        <v>2025</v>
      </c>
      <c r="C212" s="4" t="n">
        <f aca="false">MONTH(A212)</f>
        <v>6</v>
      </c>
      <c r="D212" s="4" t="s">
        <v>46</v>
      </c>
      <c r="E212" s="4" t="s">
        <v>44</v>
      </c>
      <c r="F212" s="7" t="n">
        <v>620729</v>
      </c>
      <c r="G212" s="7" t="n">
        <v>620729</v>
      </c>
      <c r="H212" s="8" t="n">
        <f aca="false">IF(F212="","",IF(E212="Revenue",F212-G212,G212-F212))</f>
        <v>0</v>
      </c>
      <c r="I212" s="9" t="n">
        <f aca="false">IF(OR(F212="",G212=0),"",H212/G212)</f>
        <v>0</v>
      </c>
    </row>
    <row r="213" customFormat="false" ht="15" hidden="false" customHeight="false" outlineLevel="0" collapsed="false">
      <c r="A213" s="6" t="n">
        <v>45809</v>
      </c>
      <c r="B213" s="4" t="n">
        <f aca="false">YEAR(A213)</f>
        <v>2025</v>
      </c>
      <c r="C213" s="4" t="n">
        <f aca="false">MONTH(A213)</f>
        <v>6</v>
      </c>
      <c r="D213" s="4" t="s">
        <v>47</v>
      </c>
      <c r="E213" s="4" t="s">
        <v>44</v>
      </c>
      <c r="F213" s="7" t="n">
        <v>550892</v>
      </c>
      <c r="G213" s="7" t="n">
        <v>515277</v>
      </c>
      <c r="H213" s="8" t="n">
        <f aca="false">IF(F213="","",IF(E213="Revenue",F213-G213,G213-F213))</f>
        <v>-35615</v>
      </c>
      <c r="I213" s="9" t="n">
        <f aca="false">IF(OR(F213="",G213=0),"",H213/G213)</f>
        <v>-0.069118163628495</v>
      </c>
    </row>
    <row r="214" customFormat="false" ht="15" hidden="false" customHeight="false" outlineLevel="0" collapsed="false">
      <c r="A214" s="6" t="n">
        <v>45809</v>
      </c>
      <c r="B214" s="4" t="n">
        <f aca="false">YEAR(A214)</f>
        <v>2025</v>
      </c>
      <c r="C214" s="4" t="n">
        <f aca="false">MONTH(A214)</f>
        <v>6</v>
      </c>
      <c r="D214" s="4" t="s">
        <v>48</v>
      </c>
      <c r="E214" s="4" t="s">
        <v>44</v>
      </c>
      <c r="F214" s="7" t="n">
        <v>287958</v>
      </c>
      <c r="G214" s="7" t="n">
        <v>326546</v>
      </c>
      <c r="H214" s="8" t="n">
        <f aca="false">IF(F214="","",IF(E214="Revenue",F214-G214,G214-F214))</f>
        <v>38588</v>
      </c>
      <c r="I214" s="9" t="n">
        <f aca="false">IF(OR(F214="",G214=0),"",H214/G214)</f>
        <v>0.11817018123021</v>
      </c>
    </row>
    <row r="215" customFormat="false" ht="15" hidden="false" customHeight="false" outlineLevel="0" collapsed="false">
      <c r="A215" s="6" t="n">
        <v>45809</v>
      </c>
      <c r="B215" s="4" t="n">
        <f aca="false">YEAR(A215)</f>
        <v>2025</v>
      </c>
      <c r="C215" s="4" t="n">
        <f aca="false">MONTH(A215)</f>
        <v>6</v>
      </c>
      <c r="D215" s="4" t="s">
        <v>49</v>
      </c>
      <c r="E215" s="4" t="s">
        <v>50</v>
      </c>
      <c r="F215" s="7" t="n">
        <v>420897</v>
      </c>
      <c r="G215" s="7" t="n">
        <v>420897</v>
      </c>
      <c r="H215" s="8" t="n">
        <f aca="false">IF(F215="","",IF(E215="Revenue",F215-G215,G215-F215))</f>
        <v>0</v>
      </c>
      <c r="I215" s="9" t="n">
        <f aca="false">IF(OR(F215="",G215=0),"",H215/G215)</f>
        <v>0</v>
      </c>
    </row>
    <row r="216" customFormat="false" ht="15" hidden="false" customHeight="false" outlineLevel="0" collapsed="false">
      <c r="A216" s="6" t="n">
        <v>45809</v>
      </c>
      <c r="B216" s="4" t="n">
        <f aca="false">YEAR(A216)</f>
        <v>2025</v>
      </c>
      <c r="C216" s="4" t="n">
        <f aca="false">MONTH(A216)</f>
        <v>6</v>
      </c>
      <c r="D216" s="4" t="s">
        <v>51</v>
      </c>
      <c r="E216" s="4" t="s">
        <v>52</v>
      </c>
      <c r="F216" s="7" t="n">
        <v>263876</v>
      </c>
      <c r="G216" s="7" t="n">
        <v>250000</v>
      </c>
      <c r="H216" s="8" t="n">
        <f aca="false">IF(F216="","",IF(E216="Revenue",F216-G216,G216-F216))</f>
        <v>-13876</v>
      </c>
      <c r="I216" s="9" t="n">
        <f aca="false">IF(OR(F216="",G216=0),"",H216/G216)</f>
        <v>-0.055504</v>
      </c>
    </row>
    <row r="217" customFormat="false" ht="15" hidden="false" customHeight="false" outlineLevel="0" collapsed="false">
      <c r="A217" s="6" t="n">
        <v>45809</v>
      </c>
      <c r="B217" s="4" t="n">
        <f aca="false">YEAR(A217)</f>
        <v>2025</v>
      </c>
      <c r="C217" s="4" t="n">
        <f aca="false">MONTH(A217)</f>
        <v>6</v>
      </c>
      <c r="D217" s="4" t="s">
        <v>53</v>
      </c>
      <c r="E217" s="4" t="s">
        <v>54</v>
      </c>
      <c r="F217" s="7" t="n">
        <v>933452</v>
      </c>
      <c r="G217" s="7" t="n">
        <v>1232894</v>
      </c>
      <c r="H217" s="8" t="n">
        <f aca="false">IF(F217="","",IF(E217="Revenue",F217-G217,G217-F217))</f>
        <v>299442</v>
      </c>
      <c r="I217" s="9" t="n">
        <f aca="false">IF(OR(F217="",G217=0),"",H217/G217)</f>
        <v>0.242877327653472</v>
      </c>
    </row>
    <row r="218" customFormat="false" ht="15" hidden="false" customHeight="false" outlineLevel="0" collapsed="false">
      <c r="A218" s="6" t="n">
        <v>45839</v>
      </c>
      <c r="B218" s="4" t="n">
        <f aca="false">YEAR(A218)</f>
        <v>2025</v>
      </c>
      <c r="C218" s="4" t="n">
        <f aca="false">MONTH(A218)</f>
        <v>7</v>
      </c>
      <c r="D218" s="4" t="s">
        <v>37</v>
      </c>
      <c r="E218" s="4" t="s">
        <v>38</v>
      </c>
      <c r="F218" s="7" t="n">
        <v>15740470</v>
      </c>
      <c r="G218" s="7" t="n">
        <v>17318440</v>
      </c>
      <c r="H218" s="8" t="n">
        <f aca="false">IF(F218="","",IF(E218="Revenue",F218-G218,G218-F218))</f>
        <v>-1577970</v>
      </c>
      <c r="I218" s="9" t="n">
        <f aca="false">IF(OR(F218="",G218=0),"",H218/G218)</f>
        <v>-0.0911150195976081</v>
      </c>
    </row>
    <row r="219" customFormat="false" ht="15" hidden="false" customHeight="false" outlineLevel="0" collapsed="false">
      <c r="A219" s="6" t="n">
        <v>45839</v>
      </c>
      <c r="B219" s="4" t="n">
        <f aca="false">YEAR(A219)</f>
        <v>2025</v>
      </c>
      <c r="C219" s="4" t="n">
        <f aca="false">MONTH(A219)</f>
        <v>7</v>
      </c>
      <c r="D219" s="4" t="s">
        <v>39</v>
      </c>
      <c r="E219" s="4" t="s">
        <v>38</v>
      </c>
      <c r="F219" s="7" t="n">
        <v>5887682</v>
      </c>
      <c r="G219" s="7" t="n">
        <v>5772813</v>
      </c>
      <c r="H219" s="8" t="n">
        <f aca="false">IF(F219="","",IF(E219="Revenue",F219-G219,G219-F219))</f>
        <v>114869</v>
      </c>
      <c r="I219" s="9" t="n">
        <f aca="false">IF(OR(F219="",G219=0),"",H219/G219)</f>
        <v>0.0198982714319691</v>
      </c>
    </row>
    <row r="220" customFormat="false" ht="15" hidden="false" customHeight="false" outlineLevel="0" collapsed="false">
      <c r="A220" s="6" t="n">
        <v>45839</v>
      </c>
      <c r="B220" s="4" t="n">
        <f aca="false">YEAR(A220)</f>
        <v>2025</v>
      </c>
      <c r="C220" s="4" t="n">
        <f aca="false">MONTH(A220)</f>
        <v>7</v>
      </c>
      <c r="D220" s="4" t="s">
        <v>40</v>
      </c>
      <c r="E220" s="4" t="s">
        <v>41</v>
      </c>
      <c r="F220" s="7" t="n">
        <v>8514807</v>
      </c>
      <c r="G220" s="7" t="n">
        <v>8947860</v>
      </c>
      <c r="H220" s="8" t="n">
        <f aca="false">IF(F220="","",IF(E220="Revenue",F220-G220,G220-F220))</f>
        <v>433053</v>
      </c>
      <c r="I220" s="9" t="n">
        <f aca="false">IF(OR(F220="",G220=0),"",H220/G220)</f>
        <v>0.0483973821673562</v>
      </c>
    </row>
    <row r="221" customFormat="false" ht="15" hidden="false" customHeight="false" outlineLevel="0" collapsed="false">
      <c r="A221" s="6" t="n">
        <v>45839</v>
      </c>
      <c r="B221" s="4" t="n">
        <f aca="false">YEAR(A221)</f>
        <v>2025</v>
      </c>
      <c r="C221" s="4" t="n">
        <f aca="false">MONTH(A221)</f>
        <v>7</v>
      </c>
      <c r="D221" s="4" t="s">
        <v>42</v>
      </c>
      <c r="E221" s="4" t="s">
        <v>41</v>
      </c>
      <c r="F221" s="7" t="n">
        <v>1797983</v>
      </c>
      <c r="G221" s="7" t="n">
        <v>1794220</v>
      </c>
      <c r="H221" s="8" t="n">
        <f aca="false">IF(F221="","",IF(E221="Revenue",F221-G221,G221-F221))</f>
        <v>-3763</v>
      </c>
      <c r="I221" s="9" t="n">
        <f aca="false">IF(OR(F221="",G221=0),"",H221/G221)</f>
        <v>-0.00209729018737947</v>
      </c>
    </row>
    <row r="222" customFormat="false" ht="15" hidden="false" customHeight="false" outlineLevel="0" collapsed="false">
      <c r="A222" s="6" t="n">
        <v>45839</v>
      </c>
      <c r="B222" s="4" t="n">
        <f aca="false">YEAR(A222)</f>
        <v>2025</v>
      </c>
      <c r="C222" s="4" t="n">
        <f aca="false">MONTH(A222)</f>
        <v>7</v>
      </c>
      <c r="D222" s="4" t="s">
        <v>43</v>
      </c>
      <c r="E222" s="4" t="s">
        <v>44</v>
      </c>
      <c r="F222" s="7" t="n">
        <v>4030305</v>
      </c>
      <c r="G222" s="7" t="n">
        <v>3897909</v>
      </c>
      <c r="H222" s="8" t="n">
        <f aca="false">IF(F222="","",IF(E222="Revenue",F222-G222,G222-F222))</f>
        <v>-132396</v>
      </c>
      <c r="I222" s="9" t="n">
        <f aca="false">IF(OR(F222="",G222=0),"",H222/G222)</f>
        <v>-0.0339659032573618</v>
      </c>
    </row>
    <row r="223" customFormat="false" ht="15" hidden="false" customHeight="false" outlineLevel="0" collapsed="false">
      <c r="A223" s="6" t="n">
        <v>45839</v>
      </c>
      <c r="B223" s="4" t="n">
        <f aca="false">YEAR(A223)</f>
        <v>2025</v>
      </c>
      <c r="C223" s="4" t="n">
        <f aca="false">MONTH(A223)</f>
        <v>7</v>
      </c>
      <c r="D223" s="4" t="s">
        <v>45</v>
      </c>
      <c r="E223" s="4" t="s">
        <v>44</v>
      </c>
      <c r="F223" s="7" t="n">
        <v>1554642</v>
      </c>
      <c r="G223" s="7" t="n">
        <v>1435377</v>
      </c>
      <c r="H223" s="8" t="n">
        <f aca="false">IF(F223="","",IF(E223="Revenue",F223-G223,G223-F223))</f>
        <v>-119265</v>
      </c>
      <c r="I223" s="9" t="n">
        <f aca="false">IF(OR(F223="",G223=0),"",H223/G223)</f>
        <v>-0.0830896691252542</v>
      </c>
    </row>
    <row r="224" customFormat="false" ht="15" hidden="false" customHeight="false" outlineLevel="0" collapsed="false">
      <c r="A224" s="6" t="n">
        <v>45839</v>
      </c>
      <c r="B224" s="4" t="n">
        <f aca="false">YEAR(A224)</f>
        <v>2025</v>
      </c>
      <c r="C224" s="4" t="n">
        <f aca="false">MONTH(A224)</f>
        <v>7</v>
      </c>
      <c r="D224" s="4" t="s">
        <v>46</v>
      </c>
      <c r="E224" s="4" t="s">
        <v>44</v>
      </c>
      <c r="F224" s="7" t="n">
        <v>621971</v>
      </c>
      <c r="G224" s="7" t="n">
        <v>621971</v>
      </c>
      <c r="H224" s="8" t="n">
        <f aca="false">IF(F224="","",IF(E224="Revenue",F224-G224,G224-F224))</f>
        <v>0</v>
      </c>
      <c r="I224" s="9" t="n">
        <f aca="false">IF(OR(F224="",G224=0),"",H224/G224)</f>
        <v>0</v>
      </c>
    </row>
    <row r="225" customFormat="false" ht="15" hidden="false" customHeight="false" outlineLevel="0" collapsed="false">
      <c r="A225" s="6" t="n">
        <v>45839</v>
      </c>
      <c r="B225" s="4" t="n">
        <f aca="false">YEAR(A225)</f>
        <v>2025</v>
      </c>
      <c r="C225" s="4" t="n">
        <f aca="false">MONTH(A225)</f>
        <v>7</v>
      </c>
      <c r="D225" s="4" t="s">
        <v>47</v>
      </c>
      <c r="E225" s="4" t="s">
        <v>44</v>
      </c>
      <c r="F225" s="7" t="n">
        <v>557367</v>
      </c>
      <c r="G225" s="7" t="n">
        <v>519400</v>
      </c>
      <c r="H225" s="8" t="n">
        <f aca="false">IF(F225="","",IF(E225="Revenue",F225-G225,G225-F225))</f>
        <v>-37967</v>
      </c>
      <c r="I225" s="9" t="n">
        <f aca="false">IF(OR(F225="",G225=0),"",H225/G225)</f>
        <v>-0.0730978051597998</v>
      </c>
    </row>
    <row r="226" customFormat="false" ht="15" hidden="false" customHeight="false" outlineLevel="0" collapsed="false">
      <c r="A226" s="6" t="n">
        <v>45839</v>
      </c>
      <c r="B226" s="4" t="n">
        <f aca="false">YEAR(A226)</f>
        <v>2025</v>
      </c>
      <c r="C226" s="4" t="n">
        <f aca="false">MONTH(A226)</f>
        <v>7</v>
      </c>
      <c r="D226" s="4" t="s">
        <v>48</v>
      </c>
      <c r="E226" s="4" t="s">
        <v>44</v>
      </c>
      <c r="F226" s="7" t="n">
        <v>288474</v>
      </c>
      <c r="G226" s="7" t="n">
        <v>328180</v>
      </c>
      <c r="H226" s="8" t="n">
        <f aca="false">IF(F226="","",IF(E226="Revenue",F226-G226,G226-F226))</f>
        <v>39706</v>
      </c>
      <c r="I226" s="9" t="n">
        <f aca="false">IF(OR(F226="",G226=0),"",H226/G226)</f>
        <v>0.120988481930648</v>
      </c>
    </row>
    <row r="227" customFormat="false" ht="15" hidden="false" customHeight="false" outlineLevel="0" collapsed="false">
      <c r="A227" s="6" t="n">
        <v>45839</v>
      </c>
      <c r="B227" s="4" t="n">
        <f aca="false">YEAR(A227)</f>
        <v>2025</v>
      </c>
      <c r="C227" s="4" t="n">
        <f aca="false">MONTH(A227)</f>
        <v>7</v>
      </c>
      <c r="D227" s="4" t="s">
        <v>49</v>
      </c>
      <c r="E227" s="4" t="s">
        <v>50</v>
      </c>
      <c r="F227" s="7" t="n">
        <v>422160</v>
      </c>
      <c r="G227" s="7" t="n">
        <v>422160</v>
      </c>
      <c r="H227" s="8" t="n">
        <f aca="false">IF(F227="","",IF(E227="Revenue",F227-G227,G227-F227))</f>
        <v>0</v>
      </c>
      <c r="I227" s="9" t="n">
        <f aca="false">IF(OR(F227="",G227=0),"",H227/G227)</f>
        <v>0</v>
      </c>
    </row>
    <row r="228" customFormat="false" ht="15" hidden="false" customHeight="false" outlineLevel="0" collapsed="false">
      <c r="A228" s="6" t="n">
        <v>45839</v>
      </c>
      <c r="B228" s="4" t="n">
        <f aca="false">YEAR(A228)</f>
        <v>2025</v>
      </c>
      <c r="C228" s="4" t="n">
        <f aca="false">MONTH(A228)</f>
        <v>7</v>
      </c>
      <c r="D228" s="4" t="s">
        <v>51</v>
      </c>
      <c r="E228" s="4" t="s">
        <v>52</v>
      </c>
      <c r="F228" s="7" t="n">
        <v>264251</v>
      </c>
      <c r="G228" s="7" t="n">
        <v>250000</v>
      </c>
      <c r="H228" s="8" t="n">
        <f aca="false">IF(F228="","",IF(E228="Revenue",F228-G228,G228-F228))</f>
        <v>-14251</v>
      </c>
      <c r="I228" s="9" t="n">
        <f aca="false">IF(OR(F228="",G228=0),"",H228/G228)</f>
        <v>-0.057004</v>
      </c>
    </row>
    <row r="229" customFormat="false" ht="15" hidden="false" customHeight="false" outlineLevel="0" collapsed="false">
      <c r="A229" s="6" t="n">
        <v>45839</v>
      </c>
      <c r="B229" s="4" t="n">
        <f aca="false">YEAR(A229)</f>
        <v>2025</v>
      </c>
      <c r="C229" s="4" t="n">
        <f aca="false">MONTH(A229)</f>
        <v>7</v>
      </c>
      <c r="D229" s="4" t="s">
        <v>53</v>
      </c>
      <c r="E229" s="4" t="s">
        <v>54</v>
      </c>
      <c r="F229" s="7" t="n">
        <v>894049</v>
      </c>
      <c r="G229" s="7" t="n">
        <v>1218544</v>
      </c>
      <c r="H229" s="8" t="n">
        <f aca="false">IF(F229="","",IF(E229="Revenue",F229-G229,G229-F229))</f>
        <v>324495</v>
      </c>
      <c r="I229" s="9" t="n">
        <f aca="false">IF(OR(F229="",G229=0),"",H229/G229)</f>
        <v>0.266297318767316</v>
      </c>
    </row>
    <row r="230" customFormat="false" ht="15" hidden="false" customHeight="false" outlineLevel="0" collapsed="false">
      <c r="A230" s="6" t="n">
        <v>45870</v>
      </c>
      <c r="B230" s="4" t="n">
        <f aca="false">YEAR(A230)</f>
        <v>2025</v>
      </c>
      <c r="C230" s="4" t="n">
        <f aca="false">MONTH(A230)</f>
        <v>8</v>
      </c>
      <c r="D230" s="4" t="s">
        <v>37</v>
      </c>
      <c r="E230" s="4" t="s">
        <v>38</v>
      </c>
      <c r="F230" s="7" t="n">
        <v>15436903</v>
      </c>
      <c r="G230" s="7" t="n">
        <v>16878813</v>
      </c>
      <c r="H230" s="8" t="n">
        <f aca="false">IF(F230="","",IF(E230="Revenue",F230-G230,G230-F230))</f>
        <v>-1441910</v>
      </c>
      <c r="I230" s="9" t="n">
        <f aca="false">IF(OR(F230="",G230=0),"",H230/G230)</f>
        <v>-0.0854272157645209</v>
      </c>
    </row>
    <row r="231" customFormat="false" ht="15" hidden="false" customHeight="false" outlineLevel="0" collapsed="false">
      <c r="A231" s="6" t="n">
        <v>45870</v>
      </c>
      <c r="B231" s="4" t="n">
        <f aca="false">YEAR(A231)</f>
        <v>2025</v>
      </c>
      <c r="C231" s="4" t="n">
        <f aca="false">MONTH(A231)</f>
        <v>8</v>
      </c>
      <c r="D231" s="4" t="s">
        <v>39</v>
      </c>
      <c r="E231" s="4" t="s">
        <v>38</v>
      </c>
      <c r="F231" s="7" t="n">
        <v>5718902</v>
      </c>
      <c r="G231" s="7" t="n">
        <v>5626271</v>
      </c>
      <c r="H231" s="8" t="n">
        <f aca="false">IF(F231="","",IF(E231="Revenue",F231-G231,G231-F231))</f>
        <v>92631</v>
      </c>
      <c r="I231" s="9" t="n">
        <f aca="false">IF(OR(F231="",G231=0),"",H231/G231)</f>
        <v>0.0164640131980845</v>
      </c>
    </row>
    <row r="232" customFormat="false" ht="15" hidden="false" customHeight="false" outlineLevel="0" collapsed="false">
      <c r="A232" s="6" t="n">
        <v>45870</v>
      </c>
      <c r="B232" s="4" t="n">
        <f aca="false">YEAR(A232)</f>
        <v>2025</v>
      </c>
      <c r="C232" s="4" t="n">
        <f aca="false">MONTH(A232)</f>
        <v>8</v>
      </c>
      <c r="D232" s="4" t="s">
        <v>40</v>
      </c>
      <c r="E232" s="4" t="s">
        <v>41</v>
      </c>
      <c r="F232" s="7" t="n">
        <v>8362557</v>
      </c>
      <c r="G232" s="7" t="n">
        <v>8720720</v>
      </c>
      <c r="H232" s="8" t="n">
        <f aca="false">IF(F232="","",IF(E232="Revenue",F232-G232,G232-F232))</f>
        <v>358163</v>
      </c>
      <c r="I232" s="9" t="n">
        <f aca="false">IF(OR(F232="",G232=0),"",H232/G232)</f>
        <v>0.0410703474025081</v>
      </c>
    </row>
    <row r="233" customFormat="false" ht="15" hidden="false" customHeight="false" outlineLevel="0" collapsed="false">
      <c r="A233" s="6" t="n">
        <v>45870</v>
      </c>
      <c r="B233" s="4" t="n">
        <f aca="false">YEAR(A233)</f>
        <v>2025</v>
      </c>
      <c r="C233" s="4" t="n">
        <f aca="false">MONTH(A233)</f>
        <v>8</v>
      </c>
      <c r="D233" s="4" t="s">
        <v>42</v>
      </c>
      <c r="E233" s="4" t="s">
        <v>41</v>
      </c>
      <c r="F233" s="7" t="n">
        <v>1820250</v>
      </c>
      <c r="G233" s="7" t="n">
        <v>1812164</v>
      </c>
      <c r="H233" s="8" t="n">
        <f aca="false">IF(F233="","",IF(E233="Revenue",F233-G233,G233-F233))</f>
        <v>-8086</v>
      </c>
      <c r="I233" s="9" t="n">
        <f aca="false">IF(OR(F233="",G233=0),"",H233/G233)</f>
        <v>-0.00446206855450169</v>
      </c>
    </row>
    <row r="234" customFormat="false" ht="15" hidden="false" customHeight="false" outlineLevel="0" collapsed="false">
      <c r="A234" s="6" t="n">
        <v>45870</v>
      </c>
      <c r="B234" s="4" t="n">
        <f aca="false">YEAR(A234)</f>
        <v>2025</v>
      </c>
      <c r="C234" s="4" t="n">
        <f aca="false">MONTH(A234)</f>
        <v>8</v>
      </c>
      <c r="D234" s="4" t="s">
        <v>43</v>
      </c>
      <c r="E234" s="4" t="s">
        <v>44</v>
      </c>
      <c r="F234" s="7" t="n">
        <v>4058636</v>
      </c>
      <c r="G234" s="7" t="n">
        <v>3921296</v>
      </c>
      <c r="H234" s="8" t="n">
        <f aca="false">IF(F234="","",IF(E234="Revenue",F234-G234,G234-F234))</f>
        <v>-137340</v>
      </c>
      <c r="I234" s="9" t="n">
        <f aca="false">IF(OR(F234="",G234=0),"",H234/G234)</f>
        <v>-0.0350241348778567</v>
      </c>
    </row>
    <row r="235" customFormat="false" ht="15" hidden="false" customHeight="false" outlineLevel="0" collapsed="false">
      <c r="A235" s="6" t="n">
        <v>45870</v>
      </c>
      <c r="B235" s="4" t="n">
        <f aca="false">YEAR(A235)</f>
        <v>2025</v>
      </c>
      <c r="C235" s="4" t="n">
        <f aca="false">MONTH(A235)</f>
        <v>8</v>
      </c>
      <c r="D235" s="4" t="s">
        <v>45</v>
      </c>
      <c r="E235" s="4" t="s">
        <v>44</v>
      </c>
      <c r="F235" s="7" t="n">
        <v>1576708</v>
      </c>
      <c r="G235" s="7" t="n">
        <v>1449731</v>
      </c>
      <c r="H235" s="8" t="n">
        <f aca="false">IF(F235="","",IF(E235="Revenue",F235-G235,G235-F235))</f>
        <v>-126977</v>
      </c>
      <c r="I235" s="9" t="n">
        <f aca="false">IF(OR(F235="",G235=0),"",H235/G235)</f>
        <v>-0.0875865936508221</v>
      </c>
    </row>
    <row r="236" customFormat="false" ht="15" hidden="false" customHeight="false" outlineLevel="0" collapsed="false">
      <c r="A236" s="6" t="n">
        <v>45870</v>
      </c>
      <c r="B236" s="4" t="n">
        <f aca="false">YEAR(A236)</f>
        <v>2025</v>
      </c>
      <c r="C236" s="4" t="n">
        <f aca="false">MONTH(A236)</f>
        <v>8</v>
      </c>
      <c r="D236" s="4" t="s">
        <v>46</v>
      </c>
      <c r="E236" s="4" t="s">
        <v>44</v>
      </c>
      <c r="F236" s="7" t="n">
        <v>623216</v>
      </c>
      <c r="G236" s="7" t="n">
        <v>623216</v>
      </c>
      <c r="H236" s="8" t="n">
        <f aca="false">IF(F236="","",IF(E236="Revenue",F236-G236,G236-F236))</f>
        <v>0</v>
      </c>
      <c r="I236" s="9" t="n">
        <f aca="false">IF(OR(F236="",G236=0),"",H236/G236)</f>
        <v>0</v>
      </c>
    </row>
    <row r="237" customFormat="false" ht="15" hidden="false" customHeight="false" outlineLevel="0" collapsed="false">
      <c r="A237" s="6" t="n">
        <v>45870</v>
      </c>
      <c r="B237" s="4" t="n">
        <f aca="false">YEAR(A237)</f>
        <v>2025</v>
      </c>
      <c r="C237" s="4" t="n">
        <f aca="false">MONTH(A237)</f>
        <v>8</v>
      </c>
      <c r="D237" s="4" t="s">
        <v>47</v>
      </c>
      <c r="E237" s="4" t="s">
        <v>44</v>
      </c>
      <c r="F237" s="7" t="n">
        <v>563677</v>
      </c>
      <c r="G237" s="7" t="n">
        <v>523556</v>
      </c>
      <c r="H237" s="8" t="n">
        <f aca="false">IF(F237="","",IF(E237="Revenue",F237-G237,G237-F237))</f>
        <v>-40121</v>
      </c>
      <c r="I237" s="9" t="n">
        <f aca="false">IF(OR(F237="",G237=0),"",H237/G237)</f>
        <v>-0.076631726119078</v>
      </c>
    </row>
    <row r="238" customFormat="false" ht="15" hidden="false" customHeight="false" outlineLevel="0" collapsed="false">
      <c r="A238" s="6" t="n">
        <v>45870</v>
      </c>
      <c r="B238" s="4" t="n">
        <f aca="false">YEAR(A238)</f>
        <v>2025</v>
      </c>
      <c r="C238" s="4" t="n">
        <f aca="false">MONTH(A238)</f>
        <v>8</v>
      </c>
      <c r="D238" s="4" t="s">
        <v>48</v>
      </c>
      <c r="E238" s="4" t="s">
        <v>44</v>
      </c>
      <c r="F238" s="7" t="n">
        <v>290450</v>
      </c>
      <c r="G238" s="7" t="n">
        <v>329820</v>
      </c>
      <c r="H238" s="8" t="n">
        <f aca="false">IF(F238="","",IF(E238="Revenue",F238-G238,G238-F238))</f>
        <v>39370</v>
      </c>
      <c r="I238" s="9" t="n">
        <f aca="false">IF(OR(F238="",G238=0),"",H238/G238)</f>
        <v>0.119368140197684</v>
      </c>
    </row>
    <row r="239" customFormat="false" ht="15" hidden="false" customHeight="false" outlineLevel="0" collapsed="false">
      <c r="A239" s="6" t="n">
        <v>45870</v>
      </c>
      <c r="B239" s="4" t="n">
        <f aca="false">YEAR(A239)</f>
        <v>2025</v>
      </c>
      <c r="C239" s="4" t="n">
        <f aca="false">MONTH(A239)</f>
        <v>8</v>
      </c>
      <c r="D239" s="4" t="s">
        <v>49</v>
      </c>
      <c r="E239" s="4" t="s">
        <v>50</v>
      </c>
      <c r="F239" s="7" t="n">
        <v>423427</v>
      </c>
      <c r="G239" s="7" t="n">
        <v>423427</v>
      </c>
      <c r="H239" s="8" t="n">
        <f aca="false">IF(F239="","",IF(E239="Revenue",F239-G239,G239-F239))</f>
        <v>0</v>
      </c>
      <c r="I239" s="9" t="n">
        <f aca="false">IF(OR(F239="",G239=0),"",H239/G239)</f>
        <v>0</v>
      </c>
    </row>
    <row r="240" customFormat="false" ht="15" hidden="false" customHeight="false" outlineLevel="0" collapsed="false">
      <c r="A240" s="6" t="n">
        <v>45870</v>
      </c>
      <c r="B240" s="4" t="n">
        <f aca="false">YEAR(A240)</f>
        <v>2025</v>
      </c>
      <c r="C240" s="4" t="n">
        <f aca="false">MONTH(A240)</f>
        <v>8</v>
      </c>
      <c r="D240" s="4" t="s">
        <v>51</v>
      </c>
      <c r="E240" s="4" t="s">
        <v>52</v>
      </c>
      <c r="F240" s="7" t="n">
        <v>264626</v>
      </c>
      <c r="G240" s="7" t="n">
        <v>250000</v>
      </c>
      <c r="H240" s="8" t="n">
        <f aca="false">IF(F240="","",IF(E240="Revenue",F240-G240,G240-F240))</f>
        <v>-14626</v>
      </c>
      <c r="I240" s="9" t="n">
        <f aca="false">IF(OR(F240="",G240=0),"",H240/G240)</f>
        <v>-0.058504</v>
      </c>
    </row>
    <row r="241" customFormat="false" ht="15" hidden="false" customHeight="false" outlineLevel="0" collapsed="false">
      <c r="A241" s="6" t="n">
        <v>45870</v>
      </c>
      <c r="B241" s="4" t="n">
        <f aca="false">YEAR(A241)</f>
        <v>2025</v>
      </c>
      <c r="C241" s="4" t="n">
        <f aca="false">MONTH(A241)</f>
        <v>8</v>
      </c>
      <c r="D241" s="4" t="s">
        <v>53</v>
      </c>
      <c r="E241" s="4" t="s">
        <v>54</v>
      </c>
      <c r="F241" s="7" t="n">
        <v>793066</v>
      </c>
      <c r="G241" s="7" t="n">
        <v>1112790</v>
      </c>
      <c r="H241" s="8" t="n">
        <f aca="false">IF(F241="","",IF(E241="Revenue",F241-G241,G241-F241))</f>
        <v>319724</v>
      </c>
      <c r="I241" s="9" t="n">
        <f aca="false">IF(OR(F241="",G241=0),"",H241/G241)</f>
        <v>0.287317463312934</v>
      </c>
    </row>
    <row r="242" customFormat="false" ht="15" hidden="false" customHeight="false" outlineLevel="0" collapsed="false">
      <c r="A242" s="6" t="n">
        <v>45901</v>
      </c>
      <c r="B242" s="4" t="n">
        <f aca="false">YEAR(A242)</f>
        <v>2025</v>
      </c>
      <c r="C242" s="4" t="n">
        <f aca="false">MONTH(A242)</f>
        <v>9</v>
      </c>
      <c r="D242" s="4" t="s">
        <v>37</v>
      </c>
      <c r="E242" s="4" t="s">
        <v>38</v>
      </c>
      <c r="F242" s="7" t="n">
        <v>14488653</v>
      </c>
      <c r="G242" s="7" t="n">
        <v>16162260</v>
      </c>
      <c r="H242" s="8" t="n">
        <f aca="false">IF(F242="","",IF(E242="Revenue",F242-G242,G242-F242))</f>
        <v>-1673607</v>
      </c>
      <c r="I242" s="9" t="n">
        <f aca="false">IF(OR(F242="",G242=0),"",H242/G242)</f>
        <v>-0.103550307939607</v>
      </c>
    </row>
    <row r="243" customFormat="false" ht="15" hidden="false" customHeight="false" outlineLevel="0" collapsed="false">
      <c r="A243" s="6" t="n">
        <v>45901</v>
      </c>
      <c r="B243" s="4" t="n">
        <f aca="false">YEAR(A243)</f>
        <v>2025</v>
      </c>
      <c r="C243" s="4" t="n">
        <f aca="false">MONTH(A243)</f>
        <v>9</v>
      </c>
      <c r="D243" s="4" t="s">
        <v>39</v>
      </c>
      <c r="E243" s="4" t="s">
        <v>38</v>
      </c>
      <c r="F243" s="7" t="n">
        <v>5389058</v>
      </c>
      <c r="G243" s="7" t="n">
        <v>5387420</v>
      </c>
      <c r="H243" s="8" t="n">
        <f aca="false">IF(F243="","",IF(E243="Revenue",F243-G243,G243-F243))</f>
        <v>1638</v>
      </c>
      <c r="I243" s="9" t="n">
        <f aca="false">IF(OR(F243="",G243=0),"",H243/G243)</f>
        <v>0.000304041637741256</v>
      </c>
    </row>
    <row r="244" customFormat="false" ht="15" hidden="false" customHeight="false" outlineLevel="0" collapsed="false">
      <c r="A244" s="6" t="n">
        <v>45901</v>
      </c>
      <c r="B244" s="4" t="n">
        <f aca="false">YEAR(A244)</f>
        <v>2025</v>
      </c>
      <c r="C244" s="4" t="n">
        <f aca="false">MONTH(A244)</f>
        <v>9</v>
      </c>
      <c r="D244" s="4" t="s">
        <v>40</v>
      </c>
      <c r="E244" s="4" t="s">
        <v>41</v>
      </c>
      <c r="F244" s="7" t="n">
        <v>7860093</v>
      </c>
      <c r="G244" s="7" t="n">
        <v>8350500</v>
      </c>
      <c r="H244" s="8" t="n">
        <f aca="false">IF(F244="","",IF(E244="Revenue",F244-G244,G244-F244))</f>
        <v>490407</v>
      </c>
      <c r="I244" s="9" t="n">
        <f aca="false">IF(OR(F244="",G244=0),"",H244/G244)</f>
        <v>0.0587278606071493</v>
      </c>
    </row>
    <row r="245" customFormat="false" ht="15" hidden="false" customHeight="false" outlineLevel="0" collapsed="false">
      <c r="A245" s="6" t="n">
        <v>45901</v>
      </c>
      <c r="B245" s="4" t="n">
        <f aca="false">YEAR(A245)</f>
        <v>2025</v>
      </c>
      <c r="C245" s="4" t="n">
        <f aca="false">MONTH(A245)</f>
        <v>9</v>
      </c>
      <c r="D245" s="4" t="s">
        <v>42</v>
      </c>
      <c r="E245" s="4" t="s">
        <v>41</v>
      </c>
      <c r="F245" s="7" t="n">
        <v>1824653</v>
      </c>
      <c r="G245" s="7" t="n">
        <v>1830286</v>
      </c>
      <c r="H245" s="8" t="n">
        <f aca="false">IF(F245="","",IF(E245="Revenue",F245-G245,G245-F245))</f>
        <v>5633</v>
      </c>
      <c r="I245" s="9" t="n">
        <f aca="false">IF(OR(F245="",G245=0),"",H245/G245)</f>
        <v>0.00307766108684654</v>
      </c>
    </row>
    <row r="246" customFormat="false" ht="15" hidden="false" customHeight="false" outlineLevel="0" collapsed="false">
      <c r="A246" s="6" t="n">
        <v>45901</v>
      </c>
      <c r="B246" s="4" t="n">
        <f aca="false">YEAR(A246)</f>
        <v>2025</v>
      </c>
      <c r="C246" s="4" t="n">
        <f aca="false">MONTH(A246)</f>
        <v>9</v>
      </c>
      <c r="D246" s="4" t="s">
        <v>43</v>
      </c>
      <c r="E246" s="4" t="s">
        <v>44</v>
      </c>
      <c r="F246" s="7" t="n">
        <v>4088023</v>
      </c>
      <c r="G246" s="7" t="n">
        <v>3944824</v>
      </c>
      <c r="H246" s="8" t="n">
        <f aca="false">IF(F246="","",IF(E246="Revenue",F246-G246,G246-F246))</f>
        <v>-143199</v>
      </c>
      <c r="I246" s="9" t="n">
        <f aca="false">IF(OR(F246="",G246=0),"",H246/G246)</f>
        <v>-0.0363004788046311</v>
      </c>
    </row>
    <row r="247" customFormat="false" ht="15" hidden="false" customHeight="false" outlineLevel="0" collapsed="false">
      <c r="A247" s="6" t="n">
        <v>45901</v>
      </c>
      <c r="B247" s="4" t="n">
        <f aca="false">YEAR(A247)</f>
        <v>2025</v>
      </c>
      <c r="C247" s="4" t="n">
        <f aca="false">MONTH(A247)</f>
        <v>9</v>
      </c>
      <c r="D247" s="4" t="s">
        <v>45</v>
      </c>
      <c r="E247" s="4" t="s">
        <v>44</v>
      </c>
      <c r="F247" s="7" t="n">
        <v>1593040</v>
      </c>
      <c r="G247" s="7" t="n">
        <v>1464227</v>
      </c>
      <c r="H247" s="8" t="n">
        <f aca="false">IF(F247="","",IF(E247="Revenue",F247-G247,G247-F247))</f>
        <v>-128813</v>
      </c>
      <c r="I247" s="9" t="n">
        <f aca="false">IF(OR(F247="",G247=0),"",H247/G247)</f>
        <v>-0.0879733811765525</v>
      </c>
    </row>
    <row r="248" customFormat="false" ht="15" hidden="false" customHeight="false" outlineLevel="0" collapsed="false">
      <c r="A248" s="6" t="n">
        <v>45901</v>
      </c>
      <c r="B248" s="4" t="n">
        <f aca="false">YEAR(A248)</f>
        <v>2025</v>
      </c>
      <c r="C248" s="4" t="n">
        <f aca="false">MONTH(A248)</f>
        <v>9</v>
      </c>
      <c r="D248" s="4" t="s">
        <v>46</v>
      </c>
      <c r="E248" s="4" t="s">
        <v>44</v>
      </c>
      <c r="F248" s="7" t="n">
        <v>624460</v>
      </c>
      <c r="G248" s="7" t="n">
        <v>624460</v>
      </c>
      <c r="H248" s="8" t="n">
        <f aca="false">IF(F248="","",IF(E248="Revenue",F248-G248,G248-F248))</f>
        <v>0</v>
      </c>
      <c r="I248" s="9" t="n">
        <f aca="false">IF(OR(F248="",G248=0),"",H248/G248)</f>
        <v>0</v>
      </c>
    </row>
    <row r="249" customFormat="false" ht="15" hidden="false" customHeight="false" outlineLevel="0" collapsed="false">
      <c r="A249" s="6" t="n">
        <v>45901</v>
      </c>
      <c r="B249" s="4" t="n">
        <f aca="false">YEAR(A249)</f>
        <v>2025</v>
      </c>
      <c r="C249" s="4" t="n">
        <f aca="false">MONTH(A249)</f>
        <v>9</v>
      </c>
      <c r="D249" s="4" t="s">
        <v>47</v>
      </c>
      <c r="E249" s="4" t="s">
        <v>44</v>
      </c>
      <c r="F249" s="7" t="n">
        <v>570295</v>
      </c>
      <c r="G249" s="7" t="n">
        <v>527744</v>
      </c>
      <c r="H249" s="8" t="n">
        <f aca="false">IF(F249="","",IF(E249="Revenue",F249-G249,G249-F249))</f>
        <v>-42551</v>
      </c>
      <c r="I249" s="9" t="n">
        <f aca="false">IF(OR(F249="",G249=0),"",H249/G249)</f>
        <v>-0.0806281075673054</v>
      </c>
    </row>
    <row r="250" customFormat="false" ht="15" hidden="false" customHeight="false" outlineLevel="0" collapsed="false">
      <c r="A250" s="6" t="n">
        <v>45901</v>
      </c>
      <c r="B250" s="4" t="n">
        <f aca="false">YEAR(A250)</f>
        <v>2025</v>
      </c>
      <c r="C250" s="4" t="n">
        <f aca="false">MONTH(A250)</f>
        <v>9</v>
      </c>
      <c r="D250" s="4" t="s">
        <v>48</v>
      </c>
      <c r="E250" s="4" t="s">
        <v>44</v>
      </c>
      <c r="F250" s="7" t="n">
        <v>290970</v>
      </c>
      <c r="G250" s="7" t="n">
        <v>331469</v>
      </c>
      <c r="H250" s="8" t="n">
        <f aca="false">IF(F250="","",IF(E250="Revenue",F250-G250,G250-F250))</f>
        <v>40499</v>
      </c>
      <c r="I250" s="9" t="n">
        <f aca="false">IF(OR(F250="",G250=0),"",H250/G250)</f>
        <v>0.122180354723971</v>
      </c>
    </row>
    <row r="251" customFormat="false" ht="15" hidden="false" customHeight="false" outlineLevel="0" collapsed="false">
      <c r="A251" s="6" t="n">
        <v>45901</v>
      </c>
      <c r="B251" s="4" t="n">
        <f aca="false">YEAR(A251)</f>
        <v>2025</v>
      </c>
      <c r="C251" s="4" t="n">
        <f aca="false">MONTH(A251)</f>
        <v>9</v>
      </c>
      <c r="D251" s="4" t="s">
        <v>49</v>
      </c>
      <c r="E251" s="4" t="s">
        <v>50</v>
      </c>
      <c r="F251" s="7" t="n">
        <v>424696</v>
      </c>
      <c r="G251" s="7" t="n">
        <v>424696</v>
      </c>
      <c r="H251" s="8" t="n">
        <f aca="false">IF(F251="","",IF(E251="Revenue",F251-G251,G251-F251))</f>
        <v>0</v>
      </c>
      <c r="I251" s="9" t="n">
        <f aca="false">IF(OR(F251="",G251=0),"",H251/G251)</f>
        <v>0</v>
      </c>
    </row>
    <row r="252" customFormat="false" ht="15" hidden="false" customHeight="false" outlineLevel="0" collapsed="false">
      <c r="A252" s="6" t="n">
        <v>45901</v>
      </c>
      <c r="B252" s="4" t="n">
        <f aca="false">YEAR(A252)</f>
        <v>2025</v>
      </c>
      <c r="C252" s="4" t="n">
        <f aca="false">MONTH(A252)</f>
        <v>9</v>
      </c>
      <c r="D252" s="4" t="s">
        <v>51</v>
      </c>
      <c r="E252" s="4" t="s">
        <v>52</v>
      </c>
      <c r="F252" s="7" t="n">
        <v>265000</v>
      </c>
      <c r="G252" s="7" t="n">
        <v>250000</v>
      </c>
      <c r="H252" s="8" t="n">
        <f aca="false">IF(F252="","",IF(E252="Revenue",F252-G252,G252-F252))</f>
        <v>-15000</v>
      </c>
      <c r="I252" s="9" t="n">
        <f aca="false">IF(OR(F252="",G252=0),"",H252/G252)</f>
        <v>-0.06</v>
      </c>
    </row>
    <row r="253" customFormat="false" ht="15" hidden="false" customHeight="false" outlineLevel="0" collapsed="false">
      <c r="A253" s="6" t="n">
        <v>45901</v>
      </c>
      <c r="B253" s="4" t="n">
        <f aca="false">YEAR(A253)</f>
        <v>2025</v>
      </c>
      <c r="C253" s="4" t="n">
        <f aca="false">MONTH(A253)</f>
        <v>9</v>
      </c>
      <c r="D253" s="4" t="s">
        <v>53</v>
      </c>
      <c r="E253" s="4" t="s">
        <v>54</v>
      </c>
      <c r="F253" s="7" t="n">
        <v>584120</v>
      </c>
      <c r="G253" s="7" t="n">
        <v>950369</v>
      </c>
      <c r="H253" s="8" t="n">
        <f aca="false">IF(F253="","",IF(E253="Revenue",F253-G253,G253-F253))</f>
        <v>366249</v>
      </c>
      <c r="I253" s="9" t="n">
        <f aca="false">IF(OR(F253="",G253=0),"",H253/G253)</f>
        <v>0.385375575171328</v>
      </c>
    </row>
    <row r="254" customFormat="false" ht="15" hidden="false" customHeight="false" outlineLevel="0" collapsed="false">
      <c r="A254" s="6" t="n">
        <v>45931</v>
      </c>
      <c r="B254" s="4" t="n">
        <f aca="false">YEAR(A254)</f>
        <v>2025</v>
      </c>
      <c r="C254" s="4" t="n">
        <f aca="false">MONTH(A254)</f>
        <v>10</v>
      </c>
      <c r="D254" s="4" t="s">
        <v>37</v>
      </c>
      <c r="E254" s="4" t="s">
        <v>38</v>
      </c>
      <c r="F254" s="7" t="n">
        <v>14191142</v>
      </c>
      <c r="G254" s="7" t="n">
        <v>15420413</v>
      </c>
      <c r="H254" s="8" t="n">
        <f aca="false">IF(F254="","",IF(E254="Revenue",F254-G254,G254-F254))</f>
        <v>-1229271</v>
      </c>
      <c r="I254" s="9" t="n">
        <f aca="false">IF(OR(F254="",G254=0),"",H254/G254)</f>
        <v>-0.0797171256048719</v>
      </c>
    </row>
    <row r="255" customFormat="false" ht="15" hidden="false" customHeight="false" outlineLevel="0" collapsed="false">
      <c r="A255" s="6" t="n">
        <v>45931</v>
      </c>
      <c r="B255" s="4" t="n">
        <f aca="false">YEAR(A255)</f>
        <v>2025</v>
      </c>
      <c r="C255" s="4" t="n">
        <f aca="false">MONTH(A255)</f>
        <v>10</v>
      </c>
      <c r="D255" s="4" t="s">
        <v>39</v>
      </c>
      <c r="E255" s="4" t="s">
        <v>38</v>
      </c>
      <c r="F255" s="7" t="n">
        <v>5189462</v>
      </c>
      <c r="G255" s="7" t="n">
        <v>5140137</v>
      </c>
      <c r="H255" s="8" t="n">
        <f aca="false">IF(F255="","",IF(E255="Revenue",F255-G255,G255-F255))</f>
        <v>49325</v>
      </c>
      <c r="I255" s="9" t="n">
        <f aca="false">IF(OR(F255="",G255=0),"",H255/G255)</f>
        <v>0.0095960477318017</v>
      </c>
    </row>
    <row r="256" customFormat="false" ht="15" hidden="false" customHeight="false" outlineLevel="0" collapsed="false">
      <c r="A256" s="6" t="n">
        <v>45931</v>
      </c>
      <c r="B256" s="4" t="n">
        <f aca="false">YEAR(A256)</f>
        <v>2025</v>
      </c>
      <c r="C256" s="4" t="n">
        <f aca="false">MONTH(A256)</f>
        <v>10</v>
      </c>
      <c r="D256" s="4" t="s">
        <v>40</v>
      </c>
      <c r="E256" s="4" t="s">
        <v>41</v>
      </c>
      <c r="F256" s="7" t="n">
        <v>7709693</v>
      </c>
      <c r="G256" s="7" t="n">
        <v>7967213</v>
      </c>
      <c r="H256" s="8" t="n">
        <f aca="false">IF(F256="","",IF(E256="Revenue",F256-G256,G256-F256))</f>
        <v>257520</v>
      </c>
      <c r="I256" s="9" t="n">
        <f aca="false">IF(OR(F256="",G256=0),"",H256/G256)</f>
        <v>0.0323224696013524</v>
      </c>
    </row>
    <row r="257" customFormat="false" ht="15" hidden="false" customHeight="false" outlineLevel="0" collapsed="false">
      <c r="A257" s="6" t="n">
        <v>45931</v>
      </c>
      <c r="B257" s="4" t="n">
        <f aca="false">YEAR(A257)</f>
        <v>2025</v>
      </c>
      <c r="C257" s="4" t="n">
        <f aca="false">MONTH(A257)</f>
        <v>10</v>
      </c>
      <c r="D257" s="4" t="s">
        <v>42</v>
      </c>
      <c r="E257" s="4" t="s">
        <v>41</v>
      </c>
      <c r="F257" s="7" t="n">
        <v>1861228</v>
      </c>
      <c r="G257" s="7" t="n">
        <v>1848587</v>
      </c>
      <c r="H257" s="8" t="n">
        <f aca="false">IF(F257="","",IF(E257="Revenue",F257-G257,G257-F257))</f>
        <v>-12641</v>
      </c>
      <c r="I257" s="9" t="n">
        <f aca="false">IF(OR(F257="",G257=0),"",H257/G257)</f>
        <v>-0.00683819587609347</v>
      </c>
    </row>
    <row r="258" customFormat="false" ht="15" hidden="false" customHeight="false" outlineLevel="0" collapsed="false">
      <c r="A258" s="6" t="n">
        <v>45931</v>
      </c>
      <c r="B258" s="4" t="n">
        <f aca="false">YEAR(A258)</f>
        <v>2025</v>
      </c>
      <c r="C258" s="4" t="n">
        <f aca="false">MONTH(A258)</f>
        <v>10</v>
      </c>
      <c r="D258" s="4" t="s">
        <v>43</v>
      </c>
      <c r="E258" s="4" t="s">
        <v>44</v>
      </c>
      <c r="F258" s="7" t="n">
        <v>4115028</v>
      </c>
      <c r="G258" s="7" t="n">
        <v>3968493</v>
      </c>
      <c r="H258" s="8" t="n">
        <f aca="false">IF(F258="","",IF(E258="Revenue",F258-G258,G258-F258))</f>
        <v>-146535</v>
      </c>
      <c r="I258" s="9" t="n">
        <f aca="false">IF(OR(F258="",G258=0),"",H258/G258)</f>
        <v>-0.0369245958100468</v>
      </c>
    </row>
    <row r="259" customFormat="false" ht="15" hidden="false" customHeight="false" outlineLevel="0" collapsed="false">
      <c r="A259" s="6" t="n">
        <v>45931</v>
      </c>
      <c r="B259" s="4" t="n">
        <f aca="false">YEAR(A259)</f>
        <v>2025</v>
      </c>
      <c r="C259" s="4" t="n">
        <f aca="false">MONTH(A259)</f>
        <v>10</v>
      </c>
      <c r="D259" s="4" t="s">
        <v>45</v>
      </c>
      <c r="E259" s="4" t="s">
        <v>44</v>
      </c>
      <c r="F259" s="7" t="n">
        <v>1620721</v>
      </c>
      <c r="G259" s="7" t="n">
        <v>1478871</v>
      </c>
      <c r="H259" s="8" t="n">
        <f aca="false">IF(F259="","",IF(E259="Revenue",F259-G259,G259-F259))</f>
        <v>-141850</v>
      </c>
      <c r="I259" s="9" t="n">
        <f aca="false">IF(OR(F259="",G259=0),"",H259/G259)</f>
        <v>-0.0959177642945193</v>
      </c>
    </row>
    <row r="260" customFormat="false" ht="15" hidden="false" customHeight="false" outlineLevel="0" collapsed="false">
      <c r="A260" s="6" t="n">
        <v>45931</v>
      </c>
      <c r="B260" s="4" t="n">
        <f aca="false">YEAR(A260)</f>
        <v>2025</v>
      </c>
      <c r="C260" s="4" t="n">
        <f aca="false">MONTH(A260)</f>
        <v>10</v>
      </c>
      <c r="D260" s="4" t="s">
        <v>46</v>
      </c>
      <c r="E260" s="4" t="s">
        <v>44</v>
      </c>
      <c r="F260" s="7" t="n">
        <v>625711</v>
      </c>
      <c r="G260" s="7" t="n">
        <v>625711</v>
      </c>
      <c r="H260" s="8" t="n">
        <f aca="false">IF(F260="","",IF(E260="Revenue",F260-G260,G260-F260))</f>
        <v>0</v>
      </c>
      <c r="I260" s="9" t="n">
        <f aca="false">IF(OR(F260="",G260=0),"",H260/G260)</f>
        <v>0</v>
      </c>
    </row>
    <row r="261" customFormat="false" ht="15" hidden="false" customHeight="false" outlineLevel="0" collapsed="false">
      <c r="A261" s="6" t="n">
        <v>45931</v>
      </c>
      <c r="B261" s="4" t="n">
        <f aca="false">YEAR(A261)</f>
        <v>2025</v>
      </c>
      <c r="C261" s="4" t="n">
        <f aca="false">MONTH(A261)</f>
        <v>10</v>
      </c>
      <c r="D261" s="4" t="s">
        <v>47</v>
      </c>
      <c r="E261" s="4" t="s">
        <v>44</v>
      </c>
      <c r="F261" s="7" t="n">
        <v>576257</v>
      </c>
      <c r="G261" s="7" t="n">
        <v>531966</v>
      </c>
      <c r="H261" s="8" t="n">
        <f aca="false">IF(F261="","",IF(E261="Revenue",F261-G261,G261-F261))</f>
        <v>-44291</v>
      </c>
      <c r="I261" s="9" t="n">
        <f aca="false">IF(OR(F261="",G261=0),"",H261/G261)</f>
        <v>-0.0832590804675487</v>
      </c>
    </row>
    <row r="262" customFormat="false" ht="15" hidden="false" customHeight="false" outlineLevel="0" collapsed="false">
      <c r="A262" s="6" t="n">
        <v>45931</v>
      </c>
      <c r="B262" s="4" t="n">
        <f aca="false">YEAR(A262)</f>
        <v>2025</v>
      </c>
      <c r="C262" s="4" t="n">
        <f aca="false">MONTH(A262)</f>
        <v>10</v>
      </c>
      <c r="D262" s="4" t="s">
        <v>48</v>
      </c>
      <c r="E262" s="4" t="s">
        <v>44</v>
      </c>
      <c r="F262" s="7" t="n">
        <v>294195</v>
      </c>
      <c r="G262" s="7" t="n">
        <v>333127</v>
      </c>
      <c r="H262" s="8" t="n">
        <f aca="false">IF(F262="","",IF(E262="Revenue",F262-G262,G262-F262))</f>
        <v>38932</v>
      </c>
      <c r="I262" s="9" t="n">
        <f aca="false">IF(OR(F262="",G262=0),"",H262/G262)</f>
        <v>0.116868341503391</v>
      </c>
    </row>
    <row r="263" customFormat="false" ht="15" hidden="false" customHeight="false" outlineLevel="0" collapsed="false">
      <c r="A263" s="6" t="n">
        <v>45931</v>
      </c>
      <c r="B263" s="4" t="n">
        <f aca="false">YEAR(A263)</f>
        <v>2025</v>
      </c>
      <c r="C263" s="4" t="n">
        <f aca="false">MONTH(A263)</f>
        <v>10</v>
      </c>
      <c r="D263" s="4" t="s">
        <v>49</v>
      </c>
      <c r="E263" s="4" t="s">
        <v>50</v>
      </c>
      <c r="F263" s="7" t="n">
        <v>425971</v>
      </c>
      <c r="G263" s="7" t="n">
        <v>425971</v>
      </c>
      <c r="H263" s="8" t="n">
        <f aca="false">IF(F263="","",IF(E263="Revenue",F263-G263,G263-F263))</f>
        <v>0</v>
      </c>
      <c r="I263" s="9" t="n">
        <f aca="false">IF(OR(F263="",G263=0),"",H263/G263)</f>
        <v>0</v>
      </c>
    </row>
    <row r="264" customFormat="false" ht="15" hidden="false" customHeight="false" outlineLevel="0" collapsed="false">
      <c r="A264" s="6" t="n">
        <v>45931</v>
      </c>
      <c r="B264" s="4" t="n">
        <f aca="false">YEAR(A264)</f>
        <v>2025</v>
      </c>
      <c r="C264" s="4" t="n">
        <f aca="false">MONTH(A264)</f>
        <v>10</v>
      </c>
      <c r="D264" s="4" t="s">
        <v>51</v>
      </c>
      <c r="E264" s="4" t="s">
        <v>52</v>
      </c>
      <c r="F264" s="7" t="n">
        <v>265376</v>
      </c>
      <c r="G264" s="7" t="n">
        <v>250000</v>
      </c>
      <c r="H264" s="8" t="n">
        <f aca="false">IF(F264="","",IF(E264="Revenue",F264-G264,G264-F264))</f>
        <v>-15376</v>
      </c>
      <c r="I264" s="9" t="n">
        <f aca="false">IF(OR(F264="",G264=0),"",H264/G264)</f>
        <v>-0.061504</v>
      </c>
    </row>
    <row r="265" customFormat="false" ht="15" hidden="false" customHeight="false" outlineLevel="0" collapsed="false">
      <c r="A265" s="6" t="n">
        <v>45931</v>
      </c>
      <c r="B265" s="4" t="n">
        <f aca="false">YEAR(A265)</f>
        <v>2025</v>
      </c>
      <c r="C265" s="4" t="n">
        <f aca="false">MONTH(A265)</f>
        <v>10</v>
      </c>
      <c r="D265" s="4" t="s">
        <v>53</v>
      </c>
      <c r="E265" s="4" t="s">
        <v>54</v>
      </c>
      <c r="F265" s="7" t="n">
        <v>471607</v>
      </c>
      <c r="G265" s="7" t="n">
        <v>782653</v>
      </c>
      <c r="H265" s="8" t="n">
        <f aca="false">IF(F265="","",IF(E265="Revenue",F265-G265,G265-F265))</f>
        <v>311046</v>
      </c>
      <c r="I265" s="9" t="n">
        <f aca="false">IF(OR(F265="",G265=0),"",H265/G265)</f>
        <v>0.397425167986323</v>
      </c>
    </row>
    <row r="266" customFormat="false" ht="15" hidden="false" customHeight="false" outlineLevel="0" collapsed="false">
      <c r="A266" s="6" t="n">
        <v>45962</v>
      </c>
      <c r="B266" s="4" t="n">
        <f aca="false">YEAR(A266)</f>
        <v>2025</v>
      </c>
      <c r="C266" s="4" t="n">
        <f aca="false">MONTH(A266)</f>
        <v>11</v>
      </c>
      <c r="D266" s="4" t="s">
        <v>37</v>
      </c>
      <c r="E266" s="4" t="s">
        <v>38</v>
      </c>
      <c r="F266" s="7" t="n">
        <v>13461923</v>
      </c>
      <c r="G266" s="7" t="n">
        <v>14920367</v>
      </c>
      <c r="H266" s="8" t="n">
        <f aca="false">IF(F266="","",IF(E266="Revenue",F266-G266,G266-F266))</f>
        <v>-1458444</v>
      </c>
      <c r="I266" s="9" t="n">
        <f aca="false">IF(OR(F266="",G266=0),"",H266/G266)</f>
        <v>-0.0977485339335152</v>
      </c>
    </row>
    <row r="267" customFormat="false" ht="15" hidden="false" customHeight="false" outlineLevel="0" collapsed="false">
      <c r="A267" s="6" t="n">
        <v>45962</v>
      </c>
      <c r="B267" s="4" t="n">
        <f aca="false">YEAR(A267)</f>
        <v>2025</v>
      </c>
      <c r="C267" s="4" t="n">
        <f aca="false">MONTH(A267)</f>
        <v>11</v>
      </c>
      <c r="D267" s="4" t="s">
        <v>39</v>
      </c>
      <c r="E267" s="4" t="s">
        <v>38</v>
      </c>
      <c r="F267" s="7" t="n">
        <v>5046296</v>
      </c>
      <c r="G267" s="7" t="n">
        <v>4973456</v>
      </c>
      <c r="H267" s="8" t="n">
        <f aca="false">IF(F267="","",IF(E267="Revenue",F267-G267,G267-F267))</f>
        <v>72840</v>
      </c>
      <c r="I267" s="9" t="n">
        <f aca="false">IF(OR(F267="",G267=0),"",H267/G267)</f>
        <v>0.0146457513648457</v>
      </c>
    </row>
    <row r="268" customFormat="false" ht="15" hidden="false" customHeight="false" outlineLevel="0" collapsed="false">
      <c r="A268" s="6" t="n">
        <v>45962</v>
      </c>
      <c r="B268" s="4" t="n">
        <f aca="false">YEAR(A268)</f>
        <v>2025</v>
      </c>
      <c r="C268" s="4" t="n">
        <f aca="false">MONTH(A268)</f>
        <v>11</v>
      </c>
      <c r="D268" s="4" t="s">
        <v>40</v>
      </c>
      <c r="E268" s="4" t="s">
        <v>41</v>
      </c>
      <c r="F268" s="7" t="n">
        <v>7323960</v>
      </c>
      <c r="G268" s="7" t="n">
        <v>7708856</v>
      </c>
      <c r="H268" s="8" t="n">
        <f aca="false">IF(F268="","",IF(E268="Revenue",F268-G268,G268-F268))</f>
        <v>384896</v>
      </c>
      <c r="I268" s="9" t="n">
        <f aca="false">IF(OR(F268="",G268=0),"",H268/G268)</f>
        <v>0.0499290685933166</v>
      </c>
    </row>
    <row r="269" customFormat="false" ht="15" hidden="false" customHeight="false" outlineLevel="0" collapsed="false">
      <c r="A269" s="6" t="n">
        <v>45962</v>
      </c>
      <c r="B269" s="4" t="n">
        <f aca="false">YEAR(A269)</f>
        <v>2025</v>
      </c>
      <c r="C269" s="4" t="n">
        <f aca="false">MONTH(A269)</f>
        <v>11</v>
      </c>
      <c r="D269" s="4" t="s">
        <v>42</v>
      </c>
      <c r="E269" s="4" t="s">
        <v>41</v>
      </c>
      <c r="F269" s="7" t="n">
        <v>1865835</v>
      </c>
      <c r="G269" s="7" t="n">
        <v>1867073</v>
      </c>
      <c r="H269" s="8" t="n">
        <f aca="false">IF(F269="","",IF(E269="Revenue",F269-G269,G269-F269))</f>
        <v>1238</v>
      </c>
      <c r="I269" s="9" t="n">
        <f aca="false">IF(OR(F269="",G269=0),"",H269/G269)</f>
        <v>0.000663069949594901</v>
      </c>
    </row>
    <row r="270" customFormat="false" ht="15" hidden="false" customHeight="false" outlineLevel="0" collapsed="false">
      <c r="A270" s="6" t="n">
        <v>45962</v>
      </c>
      <c r="B270" s="4" t="n">
        <f aca="false">YEAR(A270)</f>
        <v>2025</v>
      </c>
      <c r="C270" s="4" t="n">
        <f aca="false">MONTH(A270)</f>
        <v>11</v>
      </c>
      <c r="D270" s="4" t="s">
        <v>43</v>
      </c>
      <c r="E270" s="4" t="s">
        <v>44</v>
      </c>
      <c r="F270" s="7" t="n">
        <v>4139598</v>
      </c>
      <c r="G270" s="7" t="n">
        <v>3992304</v>
      </c>
      <c r="H270" s="8" t="n">
        <f aca="false">IF(F270="","",IF(E270="Revenue",F270-G270,G270-F270))</f>
        <v>-147294</v>
      </c>
      <c r="I270" s="9" t="n">
        <f aca="false">IF(OR(F270="",G270=0),"",H270/G270)</f>
        <v>-0.0368944849891191</v>
      </c>
    </row>
    <row r="271" customFormat="false" ht="15" hidden="false" customHeight="false" outlineLevel="0" collapsed="false">
      <c r="A271" s="6" t="n">
        <v>45962</v>
      </c>
      <c r="B271" s="4" t="n">
        <f aca="false">YEAR(A271)</f>
        <v>2025</v>
      </c>
      <c r="C271" s="4" t="n">
        <f aca="false">MONTH(A271)</f>
        <v>11</v>
      </c>
      <c r="D271" s="4" t="s">
        <v>45</v>
      </c>
      <c r="E271" s="4" t="s">
        <v>44</v>
      </c>
      <c r="F271" s="7" t="n">
        <v>1637492</v>
      </c>
      <c r="G271" s="7" t="n">
        <v>1493660</v>
      </c>
      <c r="H271" s="8" t="n">
        <f aca="false">IF(F271="","",IF(E271="Revenue",F271-G271,G271-F271))</f>
        <v>-143832</v>
      </c>
      <c r="I271" s="9" t="n">
        <f aca="false">IF(OR(F271="",G271=0),"",H271/G271)</f>
        <v>-0.096295006895813</v>
      </c>
    </row>
    <row r="272" customFormat="false" ht="15" hidden="false" customHeight="false" outlineLevel="0" collapsed="false">
      <c r="A272" s="6" t="n">
        <v>45962</v>
      </c>
      <c r="B272" s="4" t="n">
        <f aca="false">YEAR(A272)</f>
        <v>2025</v>
      </c>
      <c r="C272" s="4" t="n">
        <f aca="false">MONTH(A272)</f>
        <v>11</v>
      </c>
      <c r="D272" s="4" t="s">
        <v>46</v>
      </c>
      <c r="E272" s="4" t="s">
        <v>44</v>
      </c>
      <c r="F272" s="7" t="n">
        <v>626962</v>
      </c>
      <c r="G272" s="7" t="n">
        <v>626962</v>
      </c>
      <c r="H272" s="8" t="n">
        <f aca="false">IF(F272="","",IF(E272="Revenue",F272-G272,G272-F272))</f>
        <v>0</v>
      </c>
      <c r="I272" s="9" t="n">
        <f aca="false">IF(OR(F272="",G272=0),"",H272/G272)</f>
        <v>0</v>
      </c>
    </row>
    <row r="273" customFormat="false" ht="15" hidden="false" customHeight="false" outlineLevel="0" collapsed="false">
      <c r="A273" s="6" t="n">
        <v>45962</v>
      </c>
      <c r="B273" s="4" t="n">
        <f aca="false">YEAR(A273)</f>
        <v>2025</v>
      </c>
      <c r="C273" s="4" t="n">
        <f aca="false">MONTH(A273)</f>
        <v>11</v>
      </c>
      <c r="D273" s="4" t="s">
        <v>47</v>
      </c>
      <c r="E273" s="4" t="s">
        <v>44</v>
      </c>
      <c r="F273" s="7" t="n">
        <v>581544</v>
      </c>
      <c r="G273" s="7" t="n">
        <v>536220</v>
      </c>
      <c r="H273" s="8" t="n">
        <f aca="false">IF(F273="","",IF(E273="Revenue",F273-G273,G273-F273))</f>
        <v>-45324</v>
      </c>
      <c r="I273" s="9" t="n">
        <f aca="false">IF(OR(F273="",G273=0),"",H273/G273)</f>
        <v>-0.0845250083920779</v>
      </c>
    </row>
    <row r="274" customFormat="false" ht="15" hidden="false" customHeight="false" outlineLevel="0" collapsed="false">
      <c r="A274" s="6" t="n">
        <v>45962</v>
      </c>
      <c r="B274" s="4" t="n">
        <f aca="false">YEAR(A274)</f>
        <v>2025</v>
      </c>
      <c r="C274" s="4" t="n">
        <f aca="false">MONTH(A274)</f>
        <v>11</v>
      </c>
      <c r="D274" s="4" t="s">
        <v>48</v>
      </c>
      <c r="E274" s="4" t="s">
        <v>44</v>
      </c>
      <c r="F274" s="7" t="n">
        <v>294723</v>
      </c>
      <c r="G274" s="7" t="n">
        <v>334791</v>
      </c>
      <c r="H274" s="8" t="n">
        <f aca="false">IF(F274="","",IF(E274="Revenue",F274-G274,G274-F274))</f>
        <v>40068</v>
      </c>
      <c r="I274" s="9" t="n">
        <f aca="false">IF(OR(F274="",G274=0),"",H274/G274)</f>
        <v>0.119680636576252</v>
      </c>
    </row>
    <row r="275" customFormat="false" ht="15" hidden="false" customHeight="false" outlineLevel="0" collapsed="false">
      <c r="A275" s="6" t="n">
        <v>45962</v>
      </c>
      <c r="B275" s="4" t="n">
        <f aca="false">YEAR(A275)</f>
        <v>2025</v>
      </c>
      <c r="C275" s="4" t="n">
        <f aca="false">MONTH(A275)</f>
        <v>11</v>
      </c>
      <c r="D275" s="4" t="s">
        <v>49</v>
      </c>
      <c r="E275" s="4" t="s">
        <v>50</v>
      </c>
      <c r="F275" s="7" t="n">
        <v>427249</v>
      </c>
      <c r="G275" s="7" t="n">
        <v>427249</v>
      </c>
      <c r="H275" s="8" t="n">
        <f aca="false">IF(F275="","",IF(E275="Revenue",F275-G275,G275-F275))</f>
        <v>0</v>
      </c>
      <c r="I275" s="9" t="n">
        <f aca="false">IF(OR(F275="",G275=0),"",H275/G275)</f>
        <v>0</v>
      </c>
    </row>
    <row r="276" customFormat="false" ht="15" hidden="false" customHeight="false" outlineLevel="0" collapsed="false">
      <c r="A276" s="6" t="n">
        <v>45962</v>
      </c>
      <c r="B276" s="4" t="n">
        <f aca="false">YEAR(A276)</f>
        <v>2025</v>
      </c>
      <c r="C276" s="4" t="n">
        <f aca="false">MONTH(A276)</f>
        <v>11</v>
      </c>
      <c r="D276" s="4" t="s">
        <v>51</v>
      </c>
      <c r="E276" s="4" t="s">
        <v>52</v>
      </c>
      <c r="F276" s="7" t="n">
        <v>265751</v>
      </c>
      <c r="G276" s="7" t="n">
        <v>250000</v>
      </c>
      <c r="H276" s="8" t="n">
        <f aca="false">IF(F276="","",IF(E276="Revenue",F276-G276,G276-F276))</f>
        <v>-15751</v>
      </c>
      <c r="I276" s="9" t="n">
        <f aca="false">IF(OR(F276="",G276=0),"",H276/G276)</f>
        <v>-0.063004</v>
      </c>
    </row>
    <row r="277" customFormat="false" ht="15" hidden="false" customHeight="false" outlineLevel="0" collapsed="false">
      <c r="A277" s="6" t="n">
        <v>45962</v>
      </c>
      <c r="B277" s="4" t="n">
        <f aca="false">YEAR(A277)</f>
        <v>2025</v>
      </c>
      <c r="C277" s="4" t="n">
        <f aca="false">MONTH(A277)</f>
        <v>11</v>
      </c>
      <c r="D277" s="4" t="s">
        <v>53</v>
      </c>
      <c r="E277" s="4" t="s">
        <v>54</v>
      </c>
      <c r="F277" s="7" t="n">
        <v>336276</v>
      </c>
      <c r="G277" s="7" t="n">
        <v>664178</v>
      </c>
      <c r="H277" s="8" t="n">
        <f aca="false">IF(F277="","",IF(E277="Revenue",F277-G277,G277-F277))</f>
        <v>327902</v>
      </c>
      <c r="I277" s="9" t="n">
        <f aca="false">IF(OR(F277="",G277=0),"",H277/G277)</f>
        <v>0.493695967044979</v>
      </c>
    </row>
    <row r="278" customFormat="false" ht="15" hidden="false" customHeight="false" outlineLevel="0" collapsed="false">
      <c r="A278" s="6" t="n">
        <v>45992</v>
      </c>
      <c r="B278" s="4" t="n">
        <f aca="false">YEAR(A278)</f>
        <v>2025</v>
      </c>
      <c r="C278" s="4" t="n">
        <f aca="false">MONTH(A278)</f>
        <v>12</v>
      </c>
      <c r="D278" s="4" t="s">
        <v>37</v>
      </c>
      <c r="E278" s="4" t="s">
        <v>38</v>
      </c>
      <c r="F278" s="7" t="n">
        <v>13306443</v>
      </c>
      <c r="G278" s="7" t="n">
        <v>14872463</v>
      </c>
      <c r="H278" s="8" t="n">
        <f aca="false">IF(F278="","",IF(E278="Revenue",F278-G278,G278-F278))</f>
        <v>-1566020</v>
      </c>
      <c r="I278" s="9" t="n">
        <f aca="false">IF(OR(F278="",G278=0),"",H278/G278)</f>
        <v>-0.105296614286416</v>
      </c>
    </row>
    <row r="279" customFormat="false" ht="15" hidden="false" customHeight="false" outlineLevel="0" collapsed="false">
      <c r="A279" s="6" t="n">
        <v>45992</v>
      </c>
      <c r="B279" s="4" t="n">
        <f aca="false">YEAR(A279)</f>
        <v>2025</v>
      </c>
      <c r="C279" s="4" t="n">
        <f aca="false">MONTH(A279)</f>
        <v>12</v>
      </c>
      <c r="D279" s="4" t="s">
        <v>39</v>
      </c>
      <c r="E279" s="4" t="s">
        <v>38</v>
      </c>
      <c r="F279" s="7" t="n">
        <v>5076160</v>
      </c>
      <c r="G279" s="7" t="n">
        <v>4957487</v>
      </c>
      <c r="H279" s="8" t="n">
        <f aca="false">IF(F279="","",IF(E279="Revenue",F279-G279,G279-F279))</f>
        <v>118673</v>
      </c>
      <c r="I279" s="9" t="n">
        <f aca="false">IF(OR(F279="",G279=0),"",H279/G279)</f>
        <v>0.0239381363985422</v>
      </c>
    </row>
    <row r="280" customFormat="false" ht="15" hidden="false" customHeight="false" outlineLevel="0" collapsed="false">
      <c r="A280" s="6" t="n">
        <v>45992</v>
      </c>
      <c r="B280" s="4" t="n">
        <f aca="false">YEAR(A280)</f>
        <v>2025</v>
      </c>
      <c r="C280" s="4" t="n">
        <f aca="false">MONTH(A280)</f>
        <v>12</v>
      </c>
      <c r="D280" s="4" t="s">
        <v>40</v>
      </c>
      <c r="E280" s="4" t="s">
        <v>41</v>
      </c>
      <c r="F280" s="7" t="n">
        <v>7249682</v>
      </c>
      <c r="G280" s="7" t="n">
        <v>7684106</v>
      </c>
      <c r="H280" s="8" t="n">
        <f aca="false">IF(F280="","",IF(E280="Revenue",F280-G280,G280-F280))</f>
        <v>434424</v>
      </c>
      <c r="I280" s="9" t="n">
        <f aca="false">IF(OR(F280="",G280=0),"",H280/G280)</f>
        <v>0.0565353991733066</v>
      </c>
    </row>
    <row r="281" customFormat="false" ht="15" hidden="false" customHeight="false" outlineLevel="0" collapsed="false">
      <c r="A281" s="6" t="n">
        <v>45992</v>
      </c>
      <c r="B281" s="4" t="n">
        <f aca="false">YEAR(A281)</f>
        <v>2025</v>
      </c>
      <c r="C281" s="4" t="n">
        <f aca="false">MONTH(A281)</f>
        <v>12</v>
      </c>
      <c r="D281" s="4" t="s">
        <v>42</v>
      </c>
      <c r="E281" s="4" t="s">
        <v>41</v>
      </c>
      <c r="F281" s="7" t="n">
        <v>1878573</v>
      </c>
      <c r="G281" s="7" t="n">
        <v>1885744</v>
      </c>
      <c r="H281" s="8" t="n">
        <f aca="false">IF(F281="","",IF(E281="Revenue",F281-G281,G281-F281))</f>
        <v>7171</v>
      </c>
      <c r="I281" s="9" t="n">
        <f aca="false">IF(OR(F281="",G281=0),"",H281/G281)</f>
        <v>0.00380274310829041</v>
      </c>
    </row>
    <row r="282" customFormat="false" ht="15" hidden="false" customHeight="false" outlineLevel="0" collapsed="false">
      <c r="A282" s="6" t="n">
        <v>45992</v>
      </c>
      <c r="B282" s="4" t="n">
        <f aca="false">YEAR(A282)</f>
        <v>2025</v>
      </c>
      <c r="C282" s="4" t="n">
        <f aca="false">MONTH(A282)</f>
        <v>12</v>
      </c>
      <c r="D282" s="4" t="s">
        <v>43</v>
      </c>
      <c r="E282" s="4" t="s">
        <v>44</v>
      </c>
      <c r="F282" s="7" t="n">
        <v>4169565</v>
      </c>
      <c r="G282" s="7" t="n">
        <v>4016257</v>
      </c>
      <c r="H282" s="8" t="n">
        <f aca="false">IF(F282="","",IF(E282="Revenue",F282-G282,G282-F282))</f>
        <v>-153308</v>
      </c>
      <c r="I282" s="9" t="n">
        <f aca="false">IF(OR(F282="",G282=0),"",H282/G282)</f>
        <v>-0.0381718600179222</v>
      </c>
    </row>
    <row r="283" customFormat="false" ht="15" hidden="false" customHeight="false" outlineLevel="0" collapsed="false">
      <c r="A283" s="6" t="n">
        <v>45992</v>
      </c>
      <c r="B283" s="4" t="n">
        <f aca="false">YEAR(A283)</f>
        <v>2025</v>
      </c>
      <c r="C283" s="4" t="n">
        <f aca="false">MONTH(A283)</f>
        <v>12</v>
      </c>
      <c r="D283" s="4" t="s">
        <v>45</v>
      </c>
      <c r="E283" s="4" t="s">
        <v>44</v>
      </c>
      <c r="F283" s="7" t="n">
        <v>1657548</v>
      </c>
      <c r="G283" s="7" t="n">
        <v>1508596</v>
      </c>
      <c r="H283" s="8" t="n">
        <f aca="false">IF(F283="","",IF(E283="Revenue",F283-G283,G283-F283))</f>
        <v>-148952</v>
      </c>
      <c r="I283" s="9" t="n">
        <f aca="false">IF(OR(F283="",G283=0),"",H283/G283)</f>
        <v>-0.0987355130200531</v>
      </c>
    </row>
    <row r="284" customFormat="false" ht="15" hidden="false" customHeight="false" outlineLevel="0" collapsed="false">
      <c r="A284" s="6" t="n">
        <v>45992</v>
      </c>
      <c r="B284" s="4" t="n">
        <f aca="false">YEAR(A284)</f>
        <v>2025</v>
      </c>
      <c r="C284" s="4" t="n">
        <f aca="false">MONTH(A284)</f>
        <v>12</v>
      </c>
      <c r="D284" s="4" t="s">
        <v>46</v>
      </c>
      <c r="E284" s="4" t="s">
        <v>44</v>
      </c>
      <c r="F284" s="7" t="n">
        <v>628216</v>
      </c>
      <c r="G284" s="7" t="n">
        <v>628216</v>
      </c>
      <c r="H284" s="8" t="n">
        <f aca="false">IF(F284="","",IF(E284="Revenue",F284-G284,G284-F284))</f>
        <v>0</v>
      </c>
      <c r="I284" s="9" t="n">
        <f aca="false">IF(OR(F284="",G284=0),"",H284/G284)</f>
        <v>0</v>
      </c>
    </row>
    <row r="285" customFormat="false" ht="15" hidden="false" customHeight="false" outlineLevel="0" collapsed="false">
      <c r="A285" s="6" t="n">
        <v>45992</v>
      </c>
      <c r="B285" s="4" t="n">
        <f aca="false">YEAR(A285)</f>
        <v>2025</v>
      </c>
      <c r="C285" s="4" t="n">
        <f aca="false">MONTH(A285)</f>
        <v>12</v>
      </c>
      <c r="D285" s="4" t="s">
        <v>47</v>
      </c>
      <c r="E285" s="4" t="s">
        <v>44</v>
      </c>
      <c r="F285" s="7" t="n">
        <v>588358</v>
      </c>
      <c r="G285" s="7" t="n">
        <v>540511</v>
      </c>
      <c r="H285" s="8" t="n">
        <f aca="false">IF(F285="","",IF(E285="Revenue",F285-G285,G285-F285))</f>
        <v>-47847</v>
      </c>
      <c r="I285" s="9" t="n">
        <f aca="false">IF(OR(F285="",G285=0),"",H285/G285)</f>
        <v>-0.0885217877156987</v>
      </c>
    </row>
    <row r="286" customFormat="false" ht="15" hidden="false" customHeight="false" outlineLevel="0" collapsed="false">
      <c r="A286" s="6" t="n">
        <v>45992</v>
      </c>
      <c r="B286" s="4" t="n">
        <f aca="false">YEAR(A286)</f>
        <v>2025</v>
      </c>
      <c r="C286" s="4" t="n">
        <f aca="false">MONTH(A286)</f>
        <v>12</v>
      </c>
      <c r="D286" s="4" t="s">
        <v>48</v>
      </c>
      <c r="E286" s="4" t="s">
        <v>44</v>
      </c>
      <c r="F286" s="7" t="n">
        <v>295995</v>
      </c>
      <c r="G286" s="7" t="n">
        <v>336466</v>
      </c>
      <c r="H286" s="8" t="n">
        <f aca="false">IF(F286="","",IF(E286="Revenue",F286-G286,G286-F286))</f>
        <v>40471</v>
      </c>
      <c r="I286" s="9" t="n">
        <f aca="false">IF(OR(F286="",G286=0),"",H286/G286)</f>
        <v>0.120282584273002</v>
      </c>
    </row>
    <row r="287" customFormat="false" ht="15" hidden="false" customHeight="false" outlineLevel="0" collapsed="false">
      <c r="A287" s="6" t="n">
        <v>45992</v>
      </c>
      <c r="B287" s="4" t="n">
        <f aca="false">YEAR(A287)</f>
        <v>2025</v>
      </c>
      <c r="C287" s="4" t="n">
        <f aca="false">MONTH(A287)</f>
        <v>12</v>
      </c>
      <c r="D287" s="4" t="s">
        <v>49</v>
      </c>
      <c r="E287" s="4" t="s">
        <v>50</v>
      </c>
      <c r="F287" s="7" t="n">
        <v>428531</v>
      </c>
      <c r="G287" s="7" t="n">
        <v>428531</v>
      </c>
      <c r="H287" s="8" t="n">
        <f aca="false">IF(F287="","",IF(E287="Revenue",F287-G287,G287-F287))</f>
        <v>0</v>
      </c>
      <c r="I287" s="9" t="n">
        <f aca="false">IF(OR(F287="",G287=0),"",H287/G287)</f>
        <v>0</v>
      </c>
    </row>
    <row r="288" customFormat="false" ht="15" hidden="false" customHeight="false" outlineLevel="0" collapsed="false">
      <c r="A288" s="6" t="n">
        <v>45992</v>
      </c>
      <c r="B288" s="4" t="n">
        <f aca="false">YEAR(A288)</f>
        <v>2025</v>
      </c>
      <c r="C288" s="4" t="n">
        <f aca="false">MONTH(A288)</f>
        <v>12</v>
      </c>
      <c r="D288" s="4" t="s">
        <v>51</v>
      </c>
      <c r="E288" s="4" t="s">
        <v>52</v>
      </c>
      <c r="F288" s="7" t="n">
        <v>266126</v>
      </c>
      <c r="G288" s="7" t="n">
        <v>250000</v>
      </c>
      <c r="H288" s="8" t="n">
        <f aca="false">IF(F288="","",IF(E288="Revenue",F288-G288,G288-F288))</f>
        <v>-16126</v>
      </c>
      <c r="I288" s="9" t="n">
        <f aca="false">IF(OR(F288="",G288=0),"",H288/G288)</f>
        <v>-0.064504</v>
      </c>
    </row>
    <row r="289" customFormat="false" ht="15" hidden="false" customHeight="false" outlineLevel="0" collapsed="false">
      <c r="A289" s="6" t="n">
        <v>45992</v>
      </c>
      <c r="B289" s="4" t="n">
        <f aca="false">YEAR(A289)</f>
        <v>2025</v>
      </c>
      <c r="C289" s="4" t="n">
        <f aca="false">MONTH(A289)</f>
        <v>12</v>
      </c>
      <c r="D289" s="4" t="s">
        <v>53</v>
      </c>
      <c r="E289" s="4" t="s">
        <v>54</v>
      </c>
      <c r="F289" s="7" t="n">
        <v>305002</v>
      </c>
      <c r="G289" s="7" t="n">
        <v>637881</v>
      </c>
      <c r="H289" s="8" t="n">
        <f aca="false">IF(F289="","",IF(E289="Revenue",F289-G289,G289-F289))</f>
        <v>332879</v>
      </c>
      <c r="I289" s="9" t="n">
        <f aca="false">IF(OR(F289="",G289=0),"",H289/G289)</f>
        <v>0.521851254387574</v>
      </c>
    </row>
    <row r="290" customFormat="false" ht="15" hidden="false" customHeight="false" outlineLevel="0" collapsed="false">
      <c r="A290" s="6" t="n">
        <v>46023</v>
      </c>
      <c r="B290" s="4" t="n">
        <f aca="false">YEAR(A290)</f>
        <v>2026</v>
      </c>
      <c r="C290" s="4" t="n">
        <f aca="false">MONTH(A290)</f>
        <v>1</v>
      </c>
      <c r="D290" s="4" t="s">
        <v>37</v>
      </c>
      <c r="E290" s="4" t="s">
        <v>38</v>
      </c>
      <c r="F290" s="7" t="n">
        <v>13478909</v>
      </c>
      <c r="G290" s="7" t="n">
        <v>15371334</v>
      </c>
      <c r="H290" s="8" t="n">
        <f aca="false">IF(F290="","",IF(E290="Revenue",F290-G290,G290-F290))</f>
        <v>-1892425</v>
      </c>
      <c r="I290" s="9" t="n">
        <f aca="false">IF(OR(F290="",G290=0),"",H290/G290)</f>
        <v>-0.123113908005642</v>
      </c>
    </row>
    <row r="291" customFormat="false" ht="15" hidden="false" customHeight="false" outlineLevel="0" collapsed="false">
      <c r="A291" s="6" t="n">
        <v>46023</v>
      </c>
      <c r="B291" s="4" t="n">
        <f aca="false">YEAR(A291)</f>
        <v>2026</v>
      </c>
      <c r="C291" s="4" t="n">
        <f aca="false">MONTH(A291)</f>
        <v>1</v>
      </c>
      <c r="D291" s="4" t="s">
        <v>39</v>
      </c>
      <c r="E291" s="4" t="s">
        <v>38</v>
      </c>
      <c r="F291" s="7" t="n">
        <v>5228836</v>
      </c>
      <c r="G291" s="7" t="n">
        <v>5123778</v>
      </c>
      <c r="H291" s="8" t="n">
        <f aca="false">IF(F291="","",IF(E291="Revenue",F291-G291,G291-F291))</f>
        <v>105058</v>
      </c>
      <c r="I291" s="9" t="n">
        <f aca="false">IF(OR(F291="",G291=0),"",H291/G291)</f>
        <v>0.0205040109075764</v>
      </c>
    </row>
    <row r="292" customFormat="false" ht="15" hidden="false" customHeight="false" outlineLevel="0" collapsed="false">
      <c r="A292" s="6" t="n">
        <v>46023</v>
      </c>
      <c r="B292" s="4" t="n">
        <f aca="false">YEAR(A292)</f>
        <v>2026</v>
      </c>
      <c r="C292" s="4" t="n">
        <f aca="false">MONTH(A292)</f>
        <v>1</v>
      </c>
      <c r="D292" s="4" t="s">
        <v>40</v>
      </c>
      <c r="E292" s="4" t="s">
        <v>41</v>
      </c>
      <c r="F292" s="7" t="n">
        <v>7354092</v>
      </c>
      <c r="G292" s="7" t="n">
        <v>7941856</v>
      </c>
      <c r="H292" s="8" t="n">
        <f aca="false">IF(F292="","",IF(E292="Revenue",F292-G292,G292-F292))</f>
        <v>587764</v>
      </c>
      <c r="I292" s="9" t="n">
        <f aca="false">IF(OR(F292="",G292=0),"",H292/G292)</f>
        <v>0.0740083930003264</v>
      </c>
    </row>
    <row r="293" customFormat="false" ht="15" hidden="false" customHeight="false" outlineLevel="0" collapsed="false">
      <c r="A293" s="6" t="n">
        <v>46023</v>
      </c>
      <c r="B293" s="4" t="n">
        <f aca="false">YEAR(A293)</f>
        <v>2026</v>
      </c>
      <c r="C293" s="4" t="n">
        <f aca="false">MONTH(A293)</f>
        <v>1</v>
      </c>
      <c r="D293" s="4" t="s">
        <v>42</v>
      </c>
      <c r="E293" s="4" t="s">
        <v>41</v>
      </c>
      <c r="F293" s="7" t="n">
        <v>1883242</v>
      </c>
      <c r="G293" s="7" t="n">
        <v>1904602</v>
      </c>
      <c r="H293" s="8" t="n">
        <f aca="false">IF(F293="","",IF(E293="Revenue",F293-G293,G293-F293))</f>
        <v>21360</v>
      </c>
      <c r="I293" s="9" t="n">
        <f aca="false">IF(OR(F293="",G293=0),"",H293/G293)</f>
        <v>0.0112149414943385</v>
      </c>
    </row>
    <row r="294" customFormat="false" ht="15" hidden="false" customHeight="false" outlineLevel="0" collapsed="false">
      <c r="A294" s="6" t="n">
        <v>46023</v>
      </c>
      <c r="B294" s="4" t="n">
        <f aca="false">YEAR(A294)</f>
        <v>2026</v>
      </c>
      <c r="C294" s="4" t="n">
        <f aca="false">MONTH(A294)</f>
        <v>1</v>
      </c>
      <c r="D294" s="4" t="s">
        <v>43</v>
      </c>
      <c r="E294" s="4" t="s">
        <v>44</v>
      </c>
      <c r="F294" s="7" t="n">
        <v>4198864</v>
      </c>
      <c r="G294" s="7" t="n">
        <v>4040356</v>
      </c>
      <c r="H294" s="8" t="n">
        <f aca="false">IF(F294="","",IF(E294="Revenue",F294-G294,G294-F294))</f>
        <v>-158508</v>
      </c>
      <c r="I294" s="9" t="n">
        <f aca="false">IF(OR(F294="",G294=0),"",H294/G294)</f>
        <v>-0.0392311964589259</v>
      </c>
    </row>
    <row r="295" customFormat="false" ht="15" hidden="false" customHeight="false" outlineLevel="0" collapsed="false">
      <c r="A295" s="6" t="n">
        <v>46023</v>
      </c>
      <c r="B295" s="4" t="n">
        <f aca="false">YEAR(A295)</f>
        <v>2026</v>
      </c>
      <c r="C295" s="4" t="n">
        <f aca="false">MONTH(A295)</f>
        <v>1</v>
      </c>
      <c r="D295" s="4" t="s">
        <v>45</v>
      </c>
      <c r="E295" s="4" t="s">
        <v>44</v>
      </c>
      <c r="F295" s="7" t="n">
        <v>1674665</v>
      </c>
      <c r="G295" s="7" t="n">
        <v>1523680</v>
      </c>
      <c r="H295" s="8" t="n">
        <f aca="false">IF(F295="","",IF(E295="Revenue",F295-G295,G295-F295))</f>
        <v>-150985</v>
      </c>
      <c r="I295" s="9" t="n">
        <f aca="false">IF(OR(F295="",G295=0),"",H295/G295)</f>
        <v>-0.0990923290979733</v>
      </c>
    </row>
    <row r="296" customFormat="false" ht="15" hidden="false" customHeight="false" outlineLevel="0" collapsed="false">
      <c r="A296" s="6" t="n">
        <v>46023</v>
      </c>
      <c r="B296" s="4" t="n">
        <f aca="false">YEAR(A296)</f>
        <v>2026</v>
      </c>
      <c r="C296" s="4" t="n">
        <f aca="false">MONTH(A296)</f>
        <v>1</v>
      </c>
      <c r="D296" s="4" t="s">
        <v>46</v>
      </c>
      <c r="E296" s="4" t="s">
        <v>44</v>
      </c>
      <c r="F296" s="7" t="n">
        <v>629473</v>
      </c>
      <c r="G296" s="7" t="n">
        <v>629473</v>
      </c>
      <c r="H296" s="8" t="n">
        <f aca="false">IF(F296="","",IF(E296="Revenue",F296-G296,G296-F296))</f>
        <v>0</v>
      </c>
      <c r="I296" s="9" t="n">
        <f aca="false">IF(OR(F296="",G296=0),"",H296/G296)</f>
        <v>0</v>
      </c>
    </row>
    <row r="297" customFormat="false" ht="15" hidden="false" customHeight="false" outlineLevel="0" collapsed="false">
      <c r="A297" s="6" t="n">
        <v>46023</v>
      </c>
      <c r="B297" s="4" t="n">
        <f aca="false">YEAR(A297)</f>
        <v>2026</v>
      </c>
      <c r="C297" s="4" t="n">
        <f aca="false">MONTH(A297)</f>
        <v>1</v>
      </c>
      <c r="D297" s="4" t="s">
        <v>47</v>
      </c>
      <c r="E297" s="4" t="s">
        <v>44</v>
      </c>
      <c r="F297" s="7" t="n">
        <v>594997</v>
      </c>
      <c r="G297" s="7" t="n">
        <v>544836</v>
      </c>
      <c r="H297" s="8" t="n">
        <f aca="false">IF(F297="","",IF(E297="Revenue",F297-G297,G297-F297))</f>
        <v>-50161</v>
      </c>
      <c r="I297" s="9" t="n">
        <f aca="false">IF(OR(F297="",G297=0),"",H297/G297)</f>
        <v>-0.0920662364454625</v>
      </c>
    </row>
    <row r="298" customFormat="false" ht="15" hidden="false" customHeight="false" outlineLevel="0" collapsed="false">
      <c r="A298" s="6" t="n">
        <v>46023</v>
      </c>
      <c r="B298" s="4" t="n">
        <f aca="false">YEAR(A298)</f>
        <v>2026</v>
      </c>
      <c r="C298" s="4" t="n">
        <f aca="false">MONTH(A298)</f>
        <v>1</v>
      </c>
      <c r="D298" s="4" t="s">
        <v>48</v>
      </c>
      <c r="E298" s="4" t="s">
        <v>44</v>
      </c>
      <c r="F298" s="7" t="n">
        <v>296523</v>
      </c>
      <c r="G298" s="7" t="n">
        <v>338147</v>
      </c>
      <c r="H298" s="8" t="n">
        <f aca="false">IF(F298="","",IF(E298="Revenue",F298-G298,G298-F298))</f>
        <v>41624</v>
      </c>
      <c r="I298" s="9" t="n">
        <f aca="false">IF(OR(F298="",G298=0),"",H298/G298)</f>
        <v>0.123094393858292</v>
      </c>
    </row>
    <row r="299" customFormat="false" ht="15" hidden="false" customHeight="false" outlineLevel="0" collapsed="false">
      <c r="A299" s="6" t="n">
        <v>46023</v>
      </c>
      <c r="B299" s="4" t="n">
        <f aca="false">YEAR(A299)</f>
        <v>2026</v>
      </c>
      <c r="C299" s="4" t="n">
        <f aca="false">MONTH(A299)</f>
        <v>1</v>
      </c>
      <c r="D299" s="4" t="s">
        <v>49</v>
      </c>
      <c r="E299" s="4" t="s">
        <v>50</v>
      </c>
      <c r="F299" s="7" t="n">
        <v>429816</v>
      </c>
      <c r="G299" s="7" t="n">
        <v>429816</v>
      </c>
      <c r="H299" s="8" t="n">
        <f aca="false">IF(F299="","",IF(E299="Revenue",F299-G299,G299-F299))</f>
        <v>0</v>
      </c>
      <c r="I299" s="9" t="n">
        <f aca="false">IF(OR(F299="",G299=0),"",H299/G299)</f>
        <v>0</v>
      </c>
    </row>
    <row r="300" customFormat="false" ht="15" hidden="false" customHeight="false" outlineLevel="0" collapsed="false">
      <c r="A300" s="6" t="n">
        <v>46023</v>
      </c>
      <c r="B300" s="4" t="n">
        <f aca="false">YEAR(A300)</f>
        <v>2026</v>
      </c>
      <c r="C300" s="4" t="n">
        <f aca="false">MONTH(A300)</f>
        <v>1</v>
      </c>
      <c r="D300" s="4" t="s">
        <v>51</v>
      </c>
      <c r="E300" s="4" t="s">
        <v>52</v>
      </c>
      <c r="F300" s="7" t="n">
        <v>266500</v>
      </c>
      <c r="G300" s="7" t="n">
        <v>250000</v>
      </c>
      <c r="H300" s="8" t="n">
        <f aca="false">IF(F300="","",IF(E300="Revenue",F300-G300,G300-F300))</f>
        <v>-16500</v>
      </c>
      <c r="I300" s="9" t="n">
        <f aca="false">IF(OR(F300="",G300=0),"",H300/G300)</f>
        <v>-0.066</v>
      </c>
    </row>
    <row r="301" customFormat="false" ht="15" hidden="false" customHeight="false" outlineLevel="0" collapsed="false">
      <c r="A301" s="6" t="n">
        <v>46023</v>
      </c>
      <c r="B301" s="4" t="n">
        <f aca="false">YEAR(A301)</f>
        <v>2026</v>
      </c>
      <c r="C301" s="4" t="n">
        <f aca="false">MONTH(A301)</f>
        <v>1</v>
      </c>
      <c r="D301" s="4" t="s">
        <v>53</v>
      </c>
      <c r="E301" s="4" t="s">
        <v>54</v>
      </c>
      <c r="F301" s="7" t="n">
        <v>344894</v>
      </c>
      <c r="G301" s="7" t="n">
        <v>723088</v>
      </c>
      <c r="H301" s="8" t="n">
        <f aca="false">IF(F301="","",IF(E301="Revenue",F301-G301,G301-F301))</f>
        <v>378194</v>
      </c>
      <c r="I301" s="9" t="n">
        <f aca="false">IF(OR(F301="",G301=0),"",H301/G301)</f>
        <v>0.523026243002235</v>
      </c>
    </row>
    <row r="302" customFormat="false" ht="15" hidden="false" customHeight="false" outlineLevel="0" collapsed="false">
      <c r="A302" s="6" t="n">
        <v>46054</v>
      </c>
      <c r="B302" s="4" t="n">
        <f aca="false">YEAR(A302)</f>
        <v>2026</v>
      </c>
      <c r="C302" s="4" t="n">
        <f aca="false">MONTH(A302)</f>
        <v>2</v>
      </c>
      <c r="D302" s="4" t="s">
        <v>37</v>
      </c>
      <c r="E302" s="4" t="s">
        <v>38</v>
      </c>
      <c r="F302" s="7" t="n">
        <v>14443305</v>
      </c>
      <c r="G302" s="7" t="n">
        <v>16366664</v>
      </c>
      <c r="H302" s="8" t="n">
        <f aca="false">IF(F302="","",IF(E302="Revenue",F302-G302,G302-F302))</f>
        <v>-1923359</v>
      </c>
      <c r="I302" s="9" t="n">
        <f aca="false">IF(OR(F302="",G302=0),"",H302/G302)</f>
        <v>-0.11751686232454</v>
      </c>
    </row>
    <row r="303" customFormat="false" ht="15" hidden="false" customHeight="false" outlineLevel="0" collapsed="false">
      <c r="A303" s="6" t="n">
        <v>46054</v>
      </c>
      <c r="B303" s="4" t="n">
        <f aca="false">YEAR(A303)</f>
        <v>2026</v>
      </c>
      <c r="C303" s="4" t="n">
        <f aca="false">MONTH(A303)</f>
        <v>2</v>
      </c>
      <c r="D303" s="4" t="s">
        <v>39</v>
      </c>
      <c r="E303" s="4" t="s">
        <v>38</v>
      </c>
      <c r="F303" s="7" t="n">
        <v>5479253</v>
      </c>
      <c r="G303" s="7" t="n">
        <v>5455554</v>
      </c>
      <c r="H303" s="8" t="n">
        <f aca="false">IF(F303="","",IF(E303="Revenue",F303-G303,G303-F303))</f>
        <v>23699</v>
      </c>
      <c r="I303" s="9" t="n">
        <f aca="false">IF(OR(F303="",G303=0),"",H303/G303)</f>
        <v>0.00434401345857818</v>
      </c>
    </row>
    <row r="304" customFormat="false" ht="15" hidden="false" customHeight="false" outlineLevel="0" collapsed="false">
      <c r="A304" s="6" t="n">
        <v>46054</v>
      </c>
      <c r="B304" s="4" t="n">
        <f aca="false">YEAR(A304)</f>
        <v>2026</v>
      </c>
      <c r="C304" s="4" t="n">
        <f aca="false">MONTH(A304)</f>
        <v>2</v>
      </c>
      <c r="D304" s="4" t="s">
        <v>40</v>
      </c>
      <c r="E304" s="4" t="s">
        <v>41</v>
      </c>
      <c r="F304" s="7" t="n">
        <v>7891460</v>
      </c>
      <c r="G304" s="7" t="n">
        <v>8456109</v>
      </c>
      <c r="H304" s="8" t="n">
        <f aca="false">IF(F304="","",IF(E304="Revenue",F304-G304,G304-F304))</f>
        <v>564649</v>
      </c>
      <c r="I304" s="9" t="n">
        <f aca="false">IF(OR(F304="",G304=0),"",H304/G304)</f>
        <v>0.0667740919612082</v>
      </c>
    </row>
    <row r="305" customFormat="false" ht="15" hidden="false" customHeight="false" outlineLevel="0" collapsed="false">
      <c r="A305" s="6" t="n">
        <v>46054</v>
      </c>
      <c r="B305" s="4" t="n">
        <f aca="false">YEAR(A305)</f>
        <v>2026</v>
      </c>
      <c r="C305" s="4" t="n">
        <f aca="false">MONTH(A305)</f>
        <v>2</v>
      </c>
      <c r="D305" s="4" t="s">
        <v>42</v>
      </c>
      <c r="E305" s="4" t="s">
        <v>41</v>
      </c>
      <c r="F305" s="7" t="n">
        <v>1906553</v>
      </c>
      <c r="G305" s="7" t="n">
        <v>1923647</v>
      </c>
      <c r="H305" s="8" t="n">
        <f aca="false">IF(F305="","",IF(E305="Revenue",F305-G305,G305-F305))</f>
        <v>17094</v>
      </c>
      <c r="I305" s="9" t="n">
        <f aca="false">IF(OR(F305="",G305=0),"",H305/G305)</f>
        <v>0.00888624576130652</v>
      </c>
    </row>
    <row r="306" customFormat="false" ht="15" hidden="false" customHeight="false" outlineLevel="0" collapsed="false">
      <c r="A306" s="6" t="n">
        <v>46054</v>
      </c>
      <c r="B306" s="4" t="n">
        <f aca="false">YEAR(A306)</f>
        <v>2026</v>
      </c>
      <c r="C306" s="4" t="n">
        <f aca="false">MONTH(A306)</f>
        <v>2</v>
      </c>
      <c r="D306" s="4" t="s">
        <v>43</v>
      </c>
      <c r="E306" s="4" t="s">
        <v>44</v>
      </c>
      <c r="F306" s="7" t="n">
        <v>4229253</v>
      </c>
      <c r="G306" s="7" t="n">
        <v>4064597</v>
      </c>
      <c r="H306" s="8" t="n">
        <f aca="false">IF(F306="","",IF(E306="Revenue",F306-G306,G306-F306))</f>
        <v>-164656</v>
      </c>
      <c r="I306" s="9" t="n">
        <f aca="false">IF(OR(F306="",G306=0),"",H306/G306)</f>
        <v>-0.0405097971582423</v>
      </c>
    </row>
    <row r="307" customFormat="false" ht="15" hidden="false" customHeight="false" outlineLevel="0" collapsed="false">
      <c r="A307" s="6" t="n">
        <v>46054</v>
      </c>
      <c r="B307" s="4" t="n">
        <f aca="false">YEAR(A307)</f>
        <v>2026</v>
      </c>
      <c r="C307" s="4" t="n">
        <f aca="false">MONTH(A307)</f>
        <v>2</v>
      </c>
      <c r="D307" s="4" t="s">
        <v>45</v>
      </c>
      <c r="E307" s="4" t="s">
        <v>44</v>
      </c>
      <c r="F307" s="7" t="n">
        <v>1698363</v>
      </c>
      <c r="G307" s="7" t="n">
        <v>1538920</v>
      </c>
      <c r="H307" s="8" t="n">
        <f aca="false">IF(F307="","",IF(E307="Revenue",F307-G307,G307-F307))</f>
        <v>-159443</v>
      </c>
      <c r="I307" s="9" t="n">
        <f aca="false">IF(OR(F307="",G307=0),"",H307/G307)</f>
        <v>-0.103607075091623</v>
      </c>
    </row>
    <row r="308" customFormat="false" ht="15" hidden="false" customHeight="false" outlineLevel="0" collapsed="false">
      <c r="A308" s="6" t="n">
        <v>46054</v>
      </c>
      <c r="B308" s="4" t="n">
        <f aca="false">YEAR(A308)</f>
        <v>2026</v>
      </c>
      <c r="C308" s="4" t="n">
        <f aca="false">MONTH(A308)</f>
        <v>2</v>
      </c>
      <c r="D308" s="4" t="s">
        <v>46</v>
      </c>
      <c r="E308" s="4" t="s">
        <v>44</v>
      </c>
      <c r="F308" s="7" t="n">
        <v>630731</v>
      </c>
      <c r="G308" s="7" t="n">
        <v>630731</v>
      </c>
      <c r="H308" s="8" t="n">
        <f aca="false">IF(F308="","",IF(E308="Revenue",F308-G308,G308-F308))</f>
        <v>0</v>
      </c>
      <c r="I308" s="9" t="n">
        <f aca="false">IF(OR(F308="",G308=0),"",H308/G308)</f>
        <v>0</v>
      </c>
    </row>
    <row r="309" customFormat="false" ht="15" hidden="false" customHeight="false" outlineLevel="0" collapsed="false">
      <c r="A309" s="6" t="n">
        <v>46054</v>
      </c>
      <c r="B309" s="4" t="n">
        <f aca="false">YEAR(A309)</f>
        <v>2026</v>
      </c>
      <c r="C309" s="4" t="n">
        <f aca="false">MONTH(A309)</f>
        <v>2</v>
      </c>
      <c r="D309" s="4" t="s">
        <v>47</v>
      </c>
      <c r="E309" s="4" t="s">
        <v>44</v>
      </c>
      <c r="F309" s="7" t="n">
        <v>601957</v>
      </c>
      <c r="G309" s="7" t="n">
        <v>549194</v>
      </c>
      <c r="H309" s="8" t="n">
        <f aca="false">IF(F309="","",IF(E309="Revenue",F309-G309,G309-F309))</f>
        <v>-52763</v>
      </c>
      <c r="I309" s="9" t="n">
        <f aca="false">IF(OR(F309="",G309=0),"",H309/G309)</f>
        <v>-0.0960735186473268</v>
      </c>
    </row>
    <row r="310" customFormat="false" ht="15" hidden="false" customHeight="false" outlineLevel="0" collapsed="false">
      <c r="A310" s="6" t="n">
        <v>46054</v>
      </c>
      <c r="B310" s="4" t="n">
        <f aca="false">YEAR(A310)</f>
        <v>2026</v>
      </c>
      <c r="C310" s="4" t="n">
        <f aca="false">MONTH(A310)</f>
        <v>2</v>
      </c>
      <c r="D310" s="4" t="s">
        <v>48</v>
      </c>
      <c r="E310" s="4" t="s">
        <v>44</v>
      </c>
      <c r="F310" s="7" t="n">
        <v>298556</v>
      </c>
      <c r="G310" s="7" t="n">
        <v>339840</v>
      </c>
      <c r="H310" s="8" t="n">
        <f aca="false">IF(F310="","",IF(E310="Revenue",F310-G310,G310-F310))</f>
        <v>41284</v>
      </c>
      <c r="I310" s="9" t="n">
        <f aca="false">IF(OR(F310="",G310=0),"",H310/G310)</f>
        <v>0.121480696798493</v>
      </c>
    </row>
    <row r="311" customFormat="false" ht="15" hidden="false" customHeight="false" outlineLevel="0" collapsed="false">
      <c r="A311" s="6" t="n">
        <v>46054</v>
      </c>
      <c r="B311" s="4" t="n">
        <f aca="false">YEAR(A311)</f>
        <v>2026</v>
      </c>
      <c r="C311" s="4" t="n">
        <f aca="false">MONTH(A311)</f>
        <v>2</v>
      </c>
      <c r="D311" s="4" t="s">
        <v>49</v>
      </c>
      <c r="E311" s="4" t="s">
        <v>50</v>
      </c>
      <c r="F311" s="7" t="n">
        <v>431106</v>
      </c>
      <c r="G311" s="7" t="n">
        <v>431106</v>
      </c>
      <c r="H311" s="8" t="n">
        <f aca="false">IF(F311="","",IF(E311="Revenue",F311-G311,G311-F311))</f>
        <v>0</v>
      </c>
      <c r="I311" s="9" t="n">
        <f aca="false">IF(OR(F311="",G311=0),"",H311/G311)</f>
        <v>0</v>
      </c>
    </row>
    <row r="312" customFormat="false" ht="15" hidden="false" customHeight="false" outlineLevel="0" collapsed="false">
      <c r="A312" s="6" t="n">
        <v>46054</v>
      </c>
      <c r="B312" s="4" t="n">
        <f aca="false">YEAR(A312)</f>
        <v>2026</v>
      </c>
      <c r="C312" s="4" t="n">
        <f aca="false">MONTH(A312)</f>
        <v>2</v>
      </c>
      <c r="D312" s="4" t="s">
        <v>51</v>
      </c>
      <c r="E312" s="4" t="s">
        <v>52</v>
      </c>
      <c r="F312" s="7" t="n">
        <v>266876</v>
      </c>
      <c r="G312" s="7" t="n">
        <v>250000</v>
      </c>
      <c r="H312" s="8" t="n">
        <f aca="false">IF(F312="","",IF(E312="Revenue",F312-G312,G312-F312))</f>
        <v>-16876</v>
      </c>
      <c r="I312" s="9" t="n">
        <f aca="false">IF(OR(F312="",G312=0),"",H312/G312)</f>
        <v>-0.067504</v>
      </c>
    </row>
    <row r="313" customFormat="false" ht="15" hidden="false" customHeight="false" outlineLevel="0" collapsed="false">
      <c r="A313" s="6" t="n">
        <v>46054</v>
      </c>
      <c r="B313" s="4" t="n">
        <f aca="false">YEAR(A313)</f>
        <v>2026</v>
      </c>
      <c r="C313" s="4" t="n">
        <f aca="false">MONTH(A313)</f>
        <v>2</v>
      </c>
      <c r="D313" s="4" t="s">
        <v>53</v>
      </c>
      <c r="E313" s="4" t="s">
        <v>54</v>
      </c>
      <c r="F313" s="7" t="n">
        <v>491927</v>
      </c>
      <c r="G313" s="7" t="n">
        <v>909520</v>
      </c>
      <c r="H313" s="8" t="n">
        <f aca="false">IF(F313="","",IF(E313="Revenue",F313-G313,G313-F313))</f>
        <v>417593</v>
      </c>
      <c r="I313" s="9" t="n">
        <f aca="false">IF(OR(F313="",G313=0),"",H313/G313)</f>
        <v>0.459135588002463</v>
      </c>
    </row>
    <row r="314" customFormat="false" ht="15" hidden="false" customHeight="false" outlineLevel="0" collapsed="false">
      <c r="A314" s="6" t="n">
        <v>46082</v>
      </c>
      <c r="B314" s="4" t="n">
        <f aca="false">YEAR(A314)</f>
        <v>2026</v>
      </c>
      <c r="C314" s="4" t="n">
        <f aca="false">MONTH(A314)</f>
        <v>3</v>
      </c>
      <c r="D314" s="4" t="s">
        <v>37</v>
      </c>
      <c r="E314" s="4" t="s">
        <v>38</v>
      </c>
      <c r="F314" s="7" t="n">
        <v>15618569</v>
      </c>
      <c r="G314" s="7" t="n">
        <v>17672514</v>
      </c>
      <c r="H314" s="8" t="n">
        <f aca="false">IF(F314="","",IF(E314="Revenue",F314-G314,G314-F314))</f>
        <v>-2053945</v>
      </c>
      <c r="I314" s="9" t="n">
        <f aca="false">IF(OR(F314="",G314=0),"",H314/G314)</f>
        <v>-0.116222570257972</v>
      </c>
    </row>
    <row r="315" customFormat="false" ht="15" hidden="false" customHeight="false" outlineLevel="0" collapsed="false">
      <c r="A315" s="6" t="n">
        <v>46082</v>
      </c>
      <c r="B315" s="4" t="n">
        <f aca="false">YEAR(A315)</f>
        <v>2026</v>
      </c>
      <c r="C315" s="4" t="n">
        <f aca="false">MONTH(A315)</f>
        <v>3</v>
      </c>
      <c r="D315" s="4" t="s">
        <v>39</v>
      </c>
      <c r="E315" s="4" t="s">
        <v>38</v>
      </c>
      <c r="F315" s="7" t="n">
        <v>5971166</v>
      </c>
      <c r="G315" s="7" t="n">
        <v>5890838</v>
      </c>
      <c r="H315" s="8" t="n">
        <f aca="false">IF(F315="","",IF(E315="Revenue",F315-G315,G315-F315))</f>
        <v>80328</v>
      </c>
      <c r="I315" s="9" t="n">
        <f aca="false">IF(OR(F315="",G315=0),"",H315/G315)</f>
        <v>0.0136360904849191</v>
      </c>
    </row>
    <row r="316" customFormat="false" ht="15" hidden="false" customHeight="false" outlineLevel="0" collapsed="false">
      <c r="A316" s="6" t="n">
        <v>46082</v>
      </c>
      <c r="B316" s="4" t="n">
        <f aca="false">YEAR(A316)</f>
        <v>2026</v>
      </c>
      <c r="C316" s="4" t="n">
        <f aca="false">MONTH(A316)</f>
        <v>3</v>
      </c>
      <c r="D316" s="4" t="s">
        <v>40</v>
      </c>
      <c r="E316" s="4" t="s">
        <v>41</v>
      </c>
      <c r="F316" s="7" t="n">
        <v>8545699</v>
      </c>
      <c r="G316" s="7" t="n">
        <v>9130800</v>
      </c>
      <c r="H316" s="8" t="n">
        <f aca="false">IF(F316="","",IF(E316="Revenue",F316-G316,G316-F316))</f>
        <v>585101</v>
      </c>
      <c r="I316" s="9" t="n">
        <f aca="false">IF(OR(F316="",G316=0),"",H316/G316)</f>
        <v>0.0640799272790993</v>
      </c>
    </row>
    <row r="317" customFormat="false" ht="15" hidden="false" customHeight="false" outlineLevel="0" collapsed="false">
      <c r="A317" s="6" t="n">
        <v>46082</v>
      </c>
      <c r="B317" s="4" t="n">
        <f aca="false">YEAR(A317)</f>
        <v>2026</v>
      </c>
      <c r="C317" s="4" t="n">
        <f aca="false">MONTH(A317)</f>
        <v>3</v>
      </c>
      <c r="D317" s="4" t="s">
        <v>42</v>
      </c>
      <c r="E317" s="4" t="s">
        <v>41</v>
      </c>
      <c r="F317" s="7" t="n">
        <v>1926664</v>
      </c>
      <c r="G317" s="7" t="n">
        <v>1942884</v>
      </c>
      <c r="H317" s="8" t="n">
        <f aca="false">IF(F317="","",IF(E317="Revenue",F317-G317,G317-F317))</f>
        <v>16220</v>
      </c>
      <c r="I317" s="9" t="n">
        <f aca="false">IF(OR(F317="",G317=0),"",H317/G317)</f>
        <v>0.00834841400721814</v>
      </c>
    </row>
    <row r="318" customFormat="false" ht="15" hidden="false" customHeight="false" outlineLevel="0" collapsed="false">
      <c r="A318" s="6" t="n">
        <v>46082</v>
      </c>
      <c r="B318" s="4" t="n">
        <f aca="false">YEAR(A318)</f>
        <v>2026</v>
      </c>
      <c r="C318" s="4" t="n">
        <f aca="false">MONTH(A318)</f>
        <v>3</v>
      </c>
      <c r="D318" s="4" t="s">
        <v>43</v>
      </c>
      <c r="E318" s="4" t="s">
        <v>44</v>
      </c>
      <c r="F318" s="7" t="n">
        <v>4257177</v>
      </c>
      <c r="G318" s="7" t="n">
        <v>4088986</v>
      </c>
      <c r="H318" s="8" t="n">
        <f aca="false">IF(F318="","",IF(E318="Revenue",F318-G318,G318-F318))</f>
        <v>-168191</v>
      </c>
      <c r="I318" s="9" t="n">
        <f aca="false">IF(OR(F318="",G318=0),"",H318/G318)</f>
        <v>-0.0411326915768359</v>
      </c>
    </row>
    <row r="319" customFormat="false" ht="15" hidden="false" customHeight="false" outlineLevel="0" collapsed="false">
      <c r="A319" s="6" t="n">
        <v>46082</v>
      </c>
      <c r="B319" s="4" t="n">
        <f aca="false">YEAR(A319)</f>
        <v>2026</v>
      </c>
      <c r="C319" s="4" t="n">
        <f aca="false">MONTH(A319)</f>
        <v>3</v>
      </c>
      <c r="D319" s="4" t="s">
        <v>45</v>
      </c>
      <c r="E319" s="4" t="s">
        <v>44</v>
      </c>
      <c r="F319" s="7" t="n">
        <v>1721295</v>
      </c>
      <c r="G319" s="7" t="n">
        <v>1554307</v>
      </c>
      <c r="H319" s="8" t="n">
        <f aca="false">IF(F319="","",IF(E319="Revenue",F319-G319,G319-F319))</f>
        <v>-166988</v>
      </c>
      <c r="I319" s="9" t="n">
        <f aca="false">IF(OR(F319="",G319=0),"",H319/G319)</f>
        <v>-0.107435661037363</v>
      </c>
    </row>
    <row r="320" customFormat="false" ht="15" hidden="false" customHeight="false" outlineLevel="0" collapsed="false">
      <c r="A320" s="6" t="n">
        <v>46082</v>
      </c>
      <c r="B320" s="4" t="n">
        <f aca="false">YEAR(A320)</f>
        <v>2026</v>
      </c>
      <c r="C320" s="4" t="n">
        <f aca="false">MONTH(A320)</f>
        <v>3</v>
      </c>
      <c r="D320" s="4" t="s">
        <v>46</v>
      </c>
      <c r="E320" s="4" t="s">
        <v>44</v>
      </c>
      <c r="F320" s="7" t="n">
        <v>631993</v>
      </c>
      <c r="G320" s="7" t="n">
        <v>631993</v>
      </c>
      <c r="H320" s="8" t="n">
        <f aca="false">IF(F320="","",IF(E320="Revenue",F320-G320,G320-F320))</f>
        <v>0</v>
      </c>
      <c r="I320" s="9" t="n">
        <f aca="false">IF(OR(F320="",G320=0),"",H320/G320)</f>
        <v>0</v>
      </c>
    </row>
    <row r="321" customFormat="false" ht="15" hidden="false" customHeight="false" outlineLevel="0" collapsed="false">
      <c r="A321" s="6" t="n">
        <v>46082</v>
      </c>
      <c r="B321" s="4" t="n">
        <f aca="false">YEAR(A321)</f>
        <v>2026</v>
      </c>
      <c r="C321" s="4" t="n">
        <f aca="false">MONTH(A321)</f>
        <v>3</v>
      </c>
      <c r="D321" s="4" t="s">
        <v>47</v>
      </c>
      <c r="E321" s="4" t="s">
        <v>44</v>
      </c>
      <c r="F321" s="7" t="n">
        <v>608229</v>
      </c>
      <c r="G321" s="7" t="n">
        <v>553587</v>
      </c>
      <c r="H321" s="8" t="n">
        <f aca="false">IF(F321="","",IF(E321="Revenue",F321-G321,G321-F321))</f>
        <v>-54642</v>
      </c>
      <c r="I321" s="9" t="n">
        <f aca="false">IF(OR(F321="",G321=0),"",H321/G321)</f>
        <v>-0.0987053525462123</v>
      </c>
    </row>
    <row r="322" customFormat="false" ht="15" hidden="false" customHeight="false" outlineLevel="0" collapsed="false">
      <c r="A322" s="6" t="n">
        <v>46082</v>
      </c>
      <c r="B322" s="4" t="n">
        <f aca="false">YEAR(A322)</f>
        <v>2026</v>
      </c>
      <c r="C322" s="4" t="n">
        <f aca="false">MONTH(A322)</f>
        <v>3</v>
      </c>
      <c r="D322" s="4" t="s">
        <v>48</v>
      </c>
      <c r="E322" s="4" t="s">
        <v>44</v>
      </c>
      <c r="F322" s="7" t="n">
        <v>300349</v>
      </c>
      <c r="G322" s="7" t="n">
        <v>341537</v>
      </c>
      <c r="H322" s="8" t="n">
        <f aca="false">IF(F322="","",IF(E322="Revenue",F322-G322,G322-F322))</f>
        <v>41188</v>
      </c>
      <c r="I322" s="9" t="n">
        <f aca="false">IF(OR(F322="",G322=0),"",H322/G322)</f>
        <v>0.120596011559509</v>
      </c>
    </row>
    <row r="323" customFormat="false" ht="15" hidden="false" customHeight="false" outlineLevel="0" collapsed="false">
      <c r="A323" s="6" t="n">
        <v>46082</v>
      </c>
      <c r="B323" s="4" t="n">
        <f aca="false">YEAR(A323)</f>
        <v>2026</v>
      </c>
      <c r="C323" s="4" t="n">
        <f aca="false">MONTH(A323)</f>
        <v>3</v>
      </c>
      <c r="D323" s="4" t="s">
        <v>49</v>
      </c>
      <c r="E323" s="4" t="s">
        <v>50</v>
      </c>
      <c r="F323" s="7" t="n">
        <v>432400</v>
      </c>
      <c r="G323" s="7" t="n">
        <v>432400</v>
      </c>
      <c r="H323" s="8" t="n">
        <f aca="false">IF(F323="","",IF(E323="Revenue",F323-G323,G323-F323))</f>
        <v>0</v>
      </c>
      <c r="I323" s="9" t="n">
        <f aca="false">IF(OR(F323="",G323=0),"",H323/G323)</f>
        <v>0</v>
      </c>
    </row>
    <row r="324" customFormat="false" ht="15" hidden="false" customHeight="false" outlineLevel="0" collapsed="false">
      <c r="A324" s="6" t="n">
        <v>46082</v>
      </c>
      <c r="B324" s="4" t="n">
        <f aca="false">YEAR(A324)</f>
        <v>2026</v>
      </c>
      <c r="C324" s="4" t="n">
        <f aca="false">MONTH(A324)</f>
        <v>3</v>
      </c>
      <c r="D324" s="4" t="s">
        <v>51</v>
      </c>
      <c r="E324" s="4" t="s">
        <v>52</v>
      </c>
      <c r="F324" s="7" t="n">
        <v>267251</v>
      </c>
      <c r="G324" s="7" t="n">
        <v>250000</v>
      </c>
      <c r="H324" s="8" t="n">
        <f aca="false">IF(F324="","",IF(E324="Revenue",F324-G324,G324-F324))</f>
        <v>-17251</v>
      </c>
      <c r="I324" s="9" t="n">
        <f aca="false">IF(OR(F324="",G324=0),"",H324/G324)</f>
        <v>-0.069004</v>
      </c>
    </row>
    <row r="325" customFormat="false" ht="15" hidden="false" customHeight="false" outlineLevel="0" collapsed="false">
      <c r="A325" s="6" t="n">
        <v>46082</v>
      </c>
      <c r="B325" s="4" t="n">
        <f aca="false">YEAR(A325)</f>
        <v>2026</v>
      </c>
      <c r="C325" s="4" t="n">
        <f aca="false">MONTH(A325)</f>
        <v>3</v>
      </c>
      <c r="D325" s="4" t="s">
        <v>53</v>
      </c>
      <c r="E325" s="4" t="s">
        <v>54</v>
      </c>
      <c r="F325" s="7" t="n">
        <v>724671</v>
      </c>
      <c r="G325" s="7" t="n">
        <v>1159214</v>
      </c>
      <c r="H325" s="8" t="n">
        <f aca="false">IF(F325="","",IF(E325="Revenue",F325-G325,G325-F325))</f>
        <v>434543</v>
      </c>
      <c r="I325" s="9" t="n">
        <f aca="false">IF(OR(F325="",G325=0),"",H325/G325)</f>
        <v>0.374860034471633</v>
      </c>
    </row>
    <row r="326" customFormat="false" ht="15" hidden="false" customHeight="false" outlineLevel="0" collapsed="false">
      <c r="A326" s="6" t="n">
        <v>46113</v>
      </c>
      <c r="B326" s="4" t="n">
        <f aca="false">YEAR(A326)</f>
        <v>2026</v>
      </c>
      <c r="C326" s="4" t="n">
        <f aca="false">MONTH(A326)</f>
        <v>4</v>
      </c>
      <c r="D326" s="4" t="s">
        <v>37</v>
      </c>
      <c r="E326" s="4" t="s">
        <v>38</v>
      </c>
      <c r="F326" s="7" t="n">
        <v>16887034</v>
      </c>
      <c r="G326" s="7" t="n">
        <v>19013858</v>
      </c>
      <c r="H326" s="8" t="n">
        <f aca="false">IF(F326="","",IF(E326="Revenue",F326-G326,G326-F326))</f>
        <v>-2126824</v>
      </c>
      <c r="I326" s="9" t="n">
        <f aca="false">IF(OR(F326="",G326=0),"",H326/G326)</f>
        <v>-0.111856520649307</v>
      </c>
    </row>
    <row r="327" customFormat="false" ht="15" hidden="false" customHeight="false" outlineLevel="0" collapsed="false">
      <c r="A327" s="6" t="n">
        <v>46113</v>
      </c>
      <c r="B327" s="4" t="n">
        <f aca="false">YEAR(A327)</f>
        <v>2026</v>
      </c>
      <c r="C327" s="4" t="n">
        <f aca="false">MONTH(A327)</f>
        <v>4</v>
      </c>
      <c r="D327" s="4" t="s">
        <v>39</v>
      </c>
      <c r="E327" s="4" t="s">
        <v>38</v>
      </c>
      <c r="F327" s="7" t="n">
        <v>6321955</v>
      </c>
      <c r="G327" s="7" t="n">
        <v>6337953</v>
      </c>
      <c r="H327" s="8" t="n">
        <f aca="false">IF(F327="","",IF(E327="Revenue",F327-G327,G327-F327))</f>
        <v>-15998</v>
      </c>
      <c r="I327" s="9" t="n">
        <f aca="false">IF(OR(F327="",G327=0),"",H327/G327)</f>
        <v>-0.00252415882541256</v>
      </c>
    </row>
    <row r="328" customFormat="false" ht="15" hidden="false" customHeight="false" outlineLevel="0" collapsed="false">
      <c r="A328" s="6" t="n">
        <v>46113</v>
      </c>
      <c r="B328" s="4" t="n">
        <f aca="false">YEAR(A328)</f>
        <v>2026</v>
      </c>
      <c r="C328" s="4" t="n">
        <f aca="false">MONTH(A328)</f>
        <v>4</v>
      </c>
      <c r="D328" s="4" t="s">
        <v>40</v>
      </c>
      <c r="E328" s="4" t="s">
        <v>41</v>
      </c>
      <c r="F328" s="7" t="n">
        <v>9252829</v>
      </c>
      <c r="G328" s="7" t="n">
        <v>9823827</v>
      </c>
      <c r="H328" s="8" t="n">
        <f aca="false">IF(F328="","",IF(E328="Revenue",F328-G328,G328-F328))</f>
        <v>570998</v>
      </c>
      <c r="I328" s="9" t="n">
        <f aca="false">IF(OR(F328="",G328=0),"",H328/G328)</f>
        <v>0.0581237841423714</v>
      </c>
    </row>
    <row r="329" customFormat="false" ht="15" hidden="false" customHeight="false" outlineLevel="0" collapsed="false">
      <c r="A329" s="6" t="n">
        <v>46113</v>
      </c>
      <c r="B329" s="4" t="n">
        <f aca="false">YEAR(A329)</f>
        <v>2026</v>
      </c>
      <c r="C329" s="4" t="n">
        <f aca="false">MONTH(A329)</f>
        <v>4</v>
      </c>
      <c r="D329" s="4" t="s">
        <v>42</v>
      </c>
      <c r="E329" s="4" t="s">
        <v>41</v>
      </c>
      <c r="F329" s="7" t="n">
        <v>1949494</v>
      </c>
      <c r="G329" s="7" t="n">
        <v>1962313</v>
      </c>
      <c r="H329" s="8" t="n">
        <f aca="false">IF(F329="","",IF(E329="Revenue",F329-G329,G329-F329))</f>
        <v>12819</v>
      </c>
      <c r="I329" s="9" t="n">
        <f aca="false">IF(OR(F329="",G329=0),"",H329/G329)</f>
        <v>0.00653259699140759</v>
      </c>
    </row>
    <row r="330" customFormat="false" ht="15" hidden="false" customHeight="false" outlineLevel="0" collapsed="false">
      <c r="A330" s="6" t="n">
        <v>46113</v>
      </c>
      <c r="B330" s="4" t="n">
        <f aca="false">YEAR(A330)</f>
        <v>2026</v>
      </c>
      <c r="C330" s="4" t="n">
        <f aca="false">MONTH(A330)</f>
        <v>4</v>
      </c>
      <c r="D330" s="4" t="s">
        <v>43</v>
      </c>
      <c r="E330" s="4" t="s">
        <v>44</v>
      </c>
      <c r="F330" s="7" t="n">
        <v>4282585</v>
      </c>
      <c r="G330" s="7" t="n">
        <v>4113520</v>
      </c>
      <c r="H330" s="8" t="n">
        <f aca="false">IF(F330="","",IF(E330="Revenue",F330-G330,G330-F330))</f>
        <v>-169065</v>
      </c>
      <c r="I330" s="9" t="n">
        <f aca="false">IF(OR(F330="",G330=0),"",H330/G330)</f>
        <v>-0.0410998366362629</v>
      </c>
    </row>
    <row r="331" customFormat="false" ht="15" hidden="false" customHeight="false" outlineLevel="0" collapsed="false">
      <c r="A331" s="6" t="n">
        <v>46113</v>
      </c>
      <c r="B331" s="4" t="n">
        <f aca="false">YEAR(A331)</f>
        <v>2026</v>
      </c>
      <c r="C331" s="4" t="n">
        <f aca="false">MONTH(A331)</f>
        <v>4</v>
      </c>
      <c r="D331" s="4" t="s">
        <v>45</v>
      </c>
      <c r="E331" s="4" t="s">
        <v>44</v>
      </c>
      <c r="F331" s="7" t="n">
        <v>1745621</v>
      </c>
      <c r="G331" s="7" t="n">
        <v>1569851</v>
      </c>
      <c r="H331" s="8" t="n">
        <f aca="false">IF(F331="","",IF(E331="Revenue",F331-G331,G331-F331))</f>
        <v>-175770</v>
      </c>
      <c r="I331" s="9" t="n">
        <f aca="false">IF(OR(F331="",G331=0),"",H331/G331)</f>
        <v>-0.111966040089155</v>
      </c>
    </row>
    <row r="332" customFormat="false" ht="15" hidden="false" customHeight="false" outlineLevel="0" collapsed="false">
      <c r="A332" s="6" t="n">
        <v>46113</v>
      </c>
      <c r="B332" s="4" t="n">
        <f aca="false">YEAR(A332)</f>
        <v>2026</v>
      </c>
      <c r="C332" s="4" t="n">
        <f aca="false">MONTH(A332)</f>
        <v>4</v>
      </c>
      <c r="D332" s="4" t="s">
        <v>46</v>
      </c>
      <c r="E332" s="4" t="s">
        <v>44</v>
      </c>
      <c r="F332" s="7" t="n">
        <v>633256</v>
      </c>
      <c r="G332" s="7" t="n">
        <v>633256</v>
      </c>
      <c r="H332" s="8" t="n">
        <f aca="false">IF(F332="","",IF(E332="Revenue",F332-G332,G332-F332))</f>
        <v>0</v>
      </c>
      <c r="I332" s="9" t="n">
        <f aca="false">IF(OR(F332="",G332=0),"",H332/G332)</f>
        <v>0</v>
      </c>
    </row>
    <row r="333" customFormat="false" ht="15" hidden="false" customHeight="false" outlineLevel="0" collapsed="false">
      <c r="A333" s="6" t="n">
        <v>46113</v>
      </c>
      <c r="B333" s="4" t="n">
        <f aca="false">YEAR(A333)</f>
        <v>2026</v>
      </c>
      <c r="C333" s="4" t="n">
        <f aca="false">MONTH(A333)</f>
        <v>4</v>
      </c>
      <c r="D333" s="4" t="s">
        <v>47</v>
      </c>
      <c r="E333" s="4" t="s">
        <v>44</v>
      </c>
      <c r="F333" s="7" t="n">
        <v>613787</v>
      </c>
      <c r="G333" s="7" t="n">
        <v>558016</v>
      </c>
      <c r="H333" s="8" t="n">
        <f aca="false">IF(F333="","",IF(E333="Revenue",F333-G333,G333-F333))</f>
        <v>-55771</v>
      </c>
      <c r="I333" s="9" t="n">
        <f aca="false">IF(OR(F333="",G333=0),"",H333/G333)</f>
        <v>-0.0999451628627136</v>
      </c>
    </row>
    <row r="334" customFormat="false" ht="15" hidden="false" customHeight="false" outlineLevel="0" collapsed="false">
      <c r="A334" s="6" t="n">
        <v>46113</v>
      </c>
      <c r="B334" s="4" t="n">
        <f aca="false">YEAR(A334)</f>
        <v>2026</v>
      </c>
      <c r="C334" s="4" t="n">
        <f aca="false">MONTH(A334)</f>
        <v>4</v>
      </c>
      <c r="D334" s="4" t="s">
        <v>48</v>
      </c>
      <c r="E334" s="4" t="s">
        <v>44</v>
      </c>
      <c r="F334" s="7" t="n">
        <v>302406</v>
      </c>
      <c r="G334" s="7" t="n">
        <v>343246</v>
      </c>
      <c r="H334" s="8" t="n">
        <f aca="false">IF(F334="","",IF(E334="Revenue",F334-G334,G334-F334))</f>
        <v>40840</v>
      </c>
      <c r="I334" s="9" t="n">
        <f aca="false">IF(OR(F334="",G334=0),"",H334/G334)</f>
        <v>0.118981721564126</v>
      </c>
    </row>
    <row r="335" customFormat="false" ht="15" hidden="false" customHeight="false" outlineLevel="0" collapsed="false">
      <c r="A335" s="6" t="n">
        <v>46113</v>
      </c>
      <c r="B335" s="4" t="n">
        <f aca="false">YEAR(A335)</f>
        <v>2026</v>
      </c>
      <c r="C335" s="4" t="n">
        <f aca="false">MONTH(A335)</f>
        <v>4</v>
      </c>
      <c r="D335" s="4" t="s">
        <v>49</v>
      </c>
      <c r="E335" s="4" t="s">
        <v>50</v>
      </c>
      <c r="F335" s="7" t="n">
        <v>433696</v>
      </c>
      <c r="G335" s="7" t="n">
        <v>433696</v>
      </c>
      <c r="H335" s="8" t="n">
        <f aca="false">IF(F335="","",IF(E335="Revenue",F335-G335,G335-F335))</f>
        <v>0</v>
      </c>
      <c r="I335" s="9" t="n">
        <f aca="false">IF(OR(F335="",G335=0),"",H335/G335)</f>
        <v>0</v>
      </c>
    </row>
    <row r="336" customFormat="false" ht="15" hidden="false" customHeight="false" outlineLevel="0" collapsed="false">
      <c r="A336" s="6" t="n">
        <v>46113</v>
      </c>
      <c r="B336" s="4" t="n">
        <f aca="false">YEAR(A336)</f>
        <v>2026</v>
      </c>
      <c r="C336" s="4" t="n">
        <f aca="false">MONTH(A336)</f>
        <v>4</v>
      </c>
      <c r="D336" s="4" t="s">
        <v>51</v>
      </c>
      <c r="E336" s="4" t="s">
        <v>52</v>
      </c>
      <c r="F336" s="7" t="n">
        <v>267626</v>
      </c>
      <c r="G336" s="7" t="n">
        <v>250000</v>
      </c>
      <c r="H336" s="8" t="n">
        <f aca="false">IF(F336="","",IF(E336="Revenue",F336-G336,G336-F336))</f>
        <v>-17626</v>
      </c>
      <c r="I336" s="9" t="n">
        <f aca="false">IF(OR(F336="",G336=0),"",H336/G336)</f>
        <v>-0.070504</v>
      </c>
    </row>
    <row r="337" customFormat="false" ht="15" hidden="false" customHeight="false" outlineLevel="0" collapsed="false">
      <c r="A337" s="6" t="n">
        <v>46113</v>
      </c>
      <c r="B337" s="4" t="n">
        <f aca="false">YEAR(A337)</f>
        <v>2026</v>
      </c>
      <c r="C337" s="4" t="n">
        <f aca="false">MONTH(A337)</f>
        <v>4</v>
      </c>
      <c r="D337" s="4" t="s">
        <v>53</v>
      </c>
      <c r="E337" s="4" t="s">
        <v>54</v>
      </c>
      <c r="F337" s="7" t="n">
        <v>931923</v>
      </c>
      <c r="G337" s="7" t="n">
        <v>1416022</v>
      </c>
      <c r="H337" s="8" t="n">
        <f aca="false">IF(F337="","",IF(E337="Revenue",F337-G337,G337-F337))</f>
        <v>484099</v>
      </c>
      <c r="I337" s="9" t="n">
        <f aca="false">IF(OR(F337="",G337=0),"",H337/G337)</f>
        <v>0.341872513280161</v>
      </c>
    </row>
    <row r="338" customFormat="false" ht="15" hidden="false" customHeight="false" outlineLevel="0" collapsed="false">
      <c r="A338" s="6" t="n">
        <v>46143</v>
      </c>
      <c r="B338" s="4" t="n">
        <f aca="false">YEAR(A338)</f>
        <v>2026</v>
      </c>
      <c r="C338" s="4" t="n">
        <f aca="false">MONTH(A338)</f>
        <v>5</v>
      </c>
      <c r="D338" s="4" t="s">
        <v>37</v>
      </c>
      <c r="E338" s="4" t="s">
        <v>38</v>
      </c>
      <c r="F338" s="7" t="n">
        <v>17701560</v>
      </c>
      <c r="G338" s="7" t="n">
        <v>20098760</v>
      </c>
      <c r="H338" s="8" t="n">
        <f aca="false">IF(F338="","",IF(E338="Revenue",F338-G338,G338-F338))</f>
        <v>-2397200</v>
      </c>
      <c r="I338" s="9" t="n">
        <f aca="false">IF(OR(F338="",G338=0),"",H338/G338)</f>
        <v>-0.119271039606423</v>
      </c>
    </row>
    <row r="339" customFormat="false" ht="15" hidden="false" customHeight="false" outlineLevel="0" collapsed="false">
      <c r="A339" s="6" t="n">
        <v>46143</v>
      </c>
      <c r="B339" s="4" t="n">
        <f aca="false">YEAR(A339)</f>
        <v>2026</v>
      </c>
      <c r="C339" s="4" t="n">
        <f aca="false">MONTH(A339)</f>
        <v>5</v>
      </c>
      <c r="D339" s="4" t="s">
        <v>39</v>
      </c>
      <c r="E339" s="4" t="s">
        <v>38</v>
      </c>
      <c r="F339" s="7" t="n">
        <v>6887028</v>
      </c>
      <c r="G339" s="7" t="n">
        <v>6699587</v>
      </c>
      <c r="H339" s="8" t="n">
        <f aca="false">IF(F339="","",IF(E339="Revenue",F339-G339,G339-F339))</f>
        <v>187441</v>
      </c>
      <c r="I339" s="9" t="n">
        <f aca="false">IF(OR(F339="",G339=0),"",H339/G339)</f>
        <v>0.0279779932703314</v>
      </c>
    </row>
    <row r="340" customFormat="false" ht="15" hidden="false" customHeight="false" outlineLevel="0" collapsed="false">
      <c r="A340" s="6" t="n">
        <v>46143</v>
      </c>
      <c r="B340" s="4" t="n">
        <f aca="false">YEAR(A340)</f>
        <v>2026</v>
      </c>
      <c r="C340" s="4" t="n">
        <f aca="false">MONTH(A340)</f>
        <v>5</v>
      </c>
      <c r="D340" s="4" t="s">
        <v>40</v>
      </c>
      <c r="E340" s="4" t="s">
        <v>41</v>
      </c>
      <c r="F340" s="7" t="n">
        <v>9712845</v>
      </c>
      <c r="G340" s="7" t="n">
        <v>10384360</v>
      </c>
      <c r="H340" s="8" t="n">
        <f aca="false">IF(F340="","",IF(E340="Revenue",F340-G340,G340-F340))</f>
        <v>671515</v>
      </c>
      <c r="I340" s="9" t="n">
        <f aca="false">IF(OR(F340="",G340=0),"",H340/G340)</f>
        <v>0.0646659977119437</v>
      </c>
    </row>
    <row r="341" customFormat="false" ht="15" hidden="false" customHeight="false" outlineLevel="0" collapsed="false">
      <c r="A341" s="6" t="n">
        <v>46143</v>
      </c>
      <c r="B341" s="4" t="n">
        <f aca="false">YEAR(A341)</f>
        <v>2026</v>
      </c>
      <c r="C341" s="4" t="n">
        <f aca="false">MONTH(A341)</f>
        <v>5</v>
      </c>
      <c r="D341" s="4" t="s">
        <v>42</v>
      </c>
      <c r="E341" s="4" t="s">
        <v>41</v>
      </c>
      <c r="F341" s="7" t="n">
        <v>1962877</v>
      </c>
      <c r="G341" s="7" t="n">
        <v>1981936</v>
      </c>
      <c r="H341" s="8" t="n">
        <f aca="false">IF(F341="","",IF(E341="Revenue",F341-G341,G341-F341))</f>
        <v>19059</v>
      </c>
      <c r="I341" s="9" t="n">
        <f aca="false">IF(OR(F341="",G341=0),"",H341/G341)</f>
        <v>0.00961635491761591</v>
      </c>
    </row>
    <row r="342" customFormat="false" ht="15" hidden="false" customHeight="false" outlineLevel="0" collapsed="false">
      <c r="A342" s="6" t="n">
        <v>46143</v>
      </c>
      <c r="B342" s="4" t="n">
        <f aca="false">YEAR(A342)</f>
        <v>2026</v>
      </c>
      <c r="C342" s="4" t="n">
        <f aca="false">MONTH(A342)</f>
        <v>5</v>
      </c>
      <c r="D342" s="4" t="s">
        <v>43</v>
      </c>
      <c r="E342" s="4" t="s">
        <v>44</v>
      </c>
      <c r="F342" s="7" t="n">
        <v>4313573</v>
      </c>
      <c r="G342" s="7" t="n">
        <v>4138200</v>
      </c>
      <c r="H342" s="8" t="n">
        <f aca="false">IF(F342="","",IF(E342="Revenue",F342-G342,G342-F342))</f>
        <v>-175373</v>
      </c>
      <c r="I342" s="9" t="n">
        <f aca="false">IF(OR(F342="",G342=0),"",H342/G342)</f>
        <v>-0.0423790536948432</v>
      </c>
    </row>
    <row r="343" customFormat="false" ht="15" hidden="false" customHeight="false" outlineLevel="0" collapsed="false">
      <c r="A343" s="6" t="n">
        <v>46143</v>
      </c>
      <c r="B343" s="4" t="n">
        <f aca="false">YEAR(A343)</f>
        <v>2026</v>
      </c>
      <c r="C343" s="4" t="n">
        <f aca="false">MONTH(A343)</f>
        <v>5</v>
      </c>
      <c r="D343" s="4" t="s">
        <v>45</v>
      </c>
      <c r="E343" s="4" t="s">
        <v>44</v>
      </c>
      <c r="F343" s="7" t="n">
        <v>1766937</v>
      </c>
      <c r="G343" s="7" t="n">
        <v>1585549</v>
      </c>
      <c r="H343" s="8" t="n">
        <f aca="false">IF(F343="","",IF(E343="Revenue",F343-G343,G343-F343))</f>
        <v>-181388</v>
      </c>
      <c r="I343" s="9" t="n">
        <f aca="false">IF(OR(F343="",G343=0),"",H343/G343)</f>
        <v>-0.114400753303745</v>
      </c>
    </row>
    <row r="344" customFormat="false" ht="15" hidden="false" customHeight="false" outlineLevel="0" collapsed="false">
      <c r="A344" s="6" t="n">
        <v>46143</v>
      </c>
      <c r="B344" s="4" t="n">
        <f aca="false">YEAR(A344)</f>
        <v>2026</v>
      </c>
      <c r="C344" s="4" t="n">
        <f aca="false">MONTH(A344)</f>
        <v>5</v>
      </c>
      <c r="D344" s="4" t="s">
        <v>46</v>
      </c>
      <c r="E344" s="4" t="s">
        <v>44</v>
      </c>
      <c r="F344" s="7" t="n">
        <v>634523</v>
      </c>
      <c r="G344" s="7" t="n">
        <v>634523</v>
      </c>
      <c r="H344" s="8" t="n">
        <f aca="false">IF(F344="","",IF(E344="Revenue",F344-G344,G344-F344))</f>
        <v>0</v>
      </c>
      <c r="I344" s="9" t="n">
        <f aca="false">IF(OR(F344="",G344=0),"",H344/G344)</f>
        <v>0</v>
      </c>
    </row>
    <row r="345" customFormat="false" ht="15" hidden="false" customHeight="false" outlineLevel="0" collapsed="false">
      <c r="A345" s="6" t="n">
        <v>46143</v>
      </c>
      <c r="B345" s="4" t="n">
        <f aca="false">YEAR(A345)</f>
        <v>2026</v>
      </c>
      <c r="C345" s="4" t="n">
        <f aca="false">MONTH(A345)</f>
        <v>5</v>
      </c>
      <c r="D345" s="4" t="s">
        <v>47</v>
      </c>
      <c r="E345" s="4" t="s">
        <v>44</v>
      </c>
      <c r="F345" s="7" t="n">
        <v>620953</v>
      </c>
      <c r="G345" s="7" t="n">
        <v>562480</v>
      </c>
      <c r="H345" s="8" t="n">
        <f aca="false">IF(F345="","",IF(E345="Revenue",F345-G345,G345-F345))</f>
        <v>-58473</v>
      </c>
      <c r="I345" s="9" t="n">
        <f aca="false">IF(OR(F345="",G345=0),"",H345/G345)</f>
        <v>-0.103955696202532</v>
      </c>
    </row>
    <row r="346" customFormat="false" ht="15" hidden="false" customHeight="false" outlineLevel="0" collapsed="false">
      <c r="A346" s="6" t="n">
        <v>46143</v>
      </c>
      <c r="B346" s="4" t="n">
        <f aca="false">YEAR(A346)</f>
        <v>2026</v>
      </c>
      <c r="C346" s="4" t="n">
        <f aca="false">MONTH(A346)</f>
        <v>5</v>
      </c>
      <c r="D346" s="4" t="s">
        <v>48</v>
      </c>
      <c r="E346" s="4" t="s">
        <v>44</v>
      </c>
      <c r="F346" s="7" t="n">
        <v>303712</v>
      </c>
      <c r="G346" s="7" t="n">
        <v>344962</v>
      </c>
      <c r="H346" s="8" t="n">
        <f aca="false">IF(F346="","",IF(E346="Revenue",F346-G346,G346-F346))</f>
        <v>41250</v>
      </c>
      <c r="I346" s="9" t="n">
        <f aca="false">IF(OR(F346="",G346=0),"",H346/G346)</f>
        <v>0.119578388344223</v>
      </c>
    </row>
    <row r="347" customFormat="false" ht="15" hidden="false" customHeight="false" outlineLevel="0" collapsed="false">
      <c r="A347" s="6" t="n">
        <v>46143</v>
      </c>
      <c r="B347" s="4" t="n">
        <f aca="false">YEAR(A347)</f>
        <v>2026</v>
      </c>
      <c r="C347" s="4" t="n">
        <f aca="false">MONTH(A347)</f>
        <v>5</v>
      </c>
      <c r="D347" s="4" t="s">
        <v>49</v>
      </c>
      <c r="E347" s="4" t="s">
        <v>50</v>
      </c>
      <c r="F347" s="7" t="n">
        <v>434997</v>
      </c>
      <c r="G347" s="7" t="n">
        <v>434997</v>
      </c>
      <c r="H347" s="8" t="n">
        <f aca="false">IF(F347="","",IF(E347="Revenue",F347-G347,G347-F347))</f>
        <v>0</v>
      </c>
      <c r="I347" s="9" t="n">
        <f aca="false">IF(OR(F347="",G347=0),"",H347/G347)</f>
        <v>0</v>
      </c>
    </row>
    <row r="348" customFormat="false" ht="15" hidden="false" customHeight="false" outlineLevel="0" collapsed="false">
      <c r="A348" s="6" t="n">
        <v>46143</v>
      </c>
      <c r="B348" s="4" t="n">
        <f aca="false">YEAR(A348)</f>
        <v>2026</v>
      </c>
      <c r="C348" s="4" t="n">
        <f aca="false">MONTH(A348)</f>
        <v>5</v>
      </c>
      <c r="D348" s="4" t="s">
        <v>51</v>
      </c>
      <c r="E348" s="4" t="s">
        <v>52</v>
      </c>
      <c r="F348" s="7" t="n">
        <v>268000</v>
      </c>
      <c r="G348" s="7" t="n">
        <v>250000</v>
      </c>
      <c r="H348" s="8" t="n">
        <f aca="false">IF(F348="","",IF(E348="Revenue",F348-G348,G348-F348))</f>
        <v>-18000</v>
      </c>
      <c r="I348" s="9" t="n">
        <f aca="false">IF(OR(F348="",G348=0),"",H348/G348)</f>
        <v>-0.072</v>
      </c>
    </row>
    <row r="349" customFormat="false" ht="15" hidden="false" customHeight="false" outlineLevel="0" collapsed="false">
      <c r="A349" s="6" t="n">
        <v>46143</v>
      </c>
      <c r="B349" s="4" t="n">
        <f aca="false">YEAR(A349)</f>
        <v>2026</v>
      </c>
      <c r="C349" s="4" t="n">
        <f aca="false">MONTH(A349)</f>
        <v>5</v>
      </c>
      <c r="D349" s="4" t="s">
        <v>53</v>
      </c>
      <c r="E349" s="4" t="s">
        <v>54</v>
      </c>
      <c r="F349" s="7" t="n">
        <v>1142544</v>
      </c>
      <c r="G349" s="7" t="n">
        <v>1620335</v>
      </c>
      <c r="H349" s="8" t="n">
        <f aca="false">IF(F349="","",IF(E349="Revenue",F349-G349,G349-F349))</f>
        <v>477791</v>
      </c>
      <c r="I349" s="9" t="n">
        <f aca="false">IF(OR(F349="",G349=0),"",H349/G349)</f>
        <v>0.294871739485971</v>
      </c>
    </row>
    <row r="350" customFormat="false" ht="15" hidden="false" customHeight="false" outlineLevel="0" collapsed="false">
      <c r="A350" s="6" t="n">
        <v>46174</v>
      </c>
      <c r="B350" s="4" t="n">
        <f aca="false">YEAR(A350)</f>
        <v>2026</v>
      </c>
      <c r="C350" s="4" t="n">
        <f aca="false">MONTH(A350)</f>
        <v>6</v>
      </c>
      <c r="D350" s="4" t="s">
        <v>37</v>
      </c>
      <c r="E350" s="4" t="s">
        <v>38</v>
      </c>
      <c r="F350" s="7" t="n">
        <v>17866898</v>
      </c>
      <c r="G350" s="7" t="n">
        <v>20697338</v>
      </c>
      <c r="H350" s="8" t="n">
        <f aca="false">IF(F350="","",IF(E350="Revenue",F350-G350,G350-F350))</f>
        <v>-2830440</v>
      </c>
      <c r="I350" s="9" t="n">
        <f aca="false">IF(OR(F350="",G350=0),"",H350/G350)</f>
        <v>-0.136753818292961</v>
      </c>
    </row>
    <row r="351" customFormat="false" ht="15" hidden="false" customHeight="false" outlineLevel="0" collapsed="false">
      <c r="A351" s="6" t="n">
        <v>46174</v>
      </c>
      <c r="B351" s="4" t="n">
        <f aca="false">YEAR(A351)</f>
        <v>2026</v>
      </c>
      <c r="C351" s="4" t="n">
        <f aca="false">MONTH(A351)</f>
        <v>6</v>
      </c>
      <c r="D351" s="4" t="s">
        <v>39</v>
      </c>
      <c r="E351" s="4" t="s">
        <v>38</v>
      </c>
      <c r="F351" s="7" t="n">
        <v>6980646</v>
      </c>
      <c r="G351" s="7" t="n">
        <v>6899113</v>
      </c>
      <c r="H351" s="8" t="n">
        <f aca="false">IF(F351="","",IF(E351="Revenue",F351-G351,G351-F351))</f>
        <v>81533</v>
      </c>
      <c r="I351" s="9" t="n">
        <f aca="false">IF(OR(F351="",G351=0),"",H351/G351)</f>
        <v>0.0118178960106901</v>
      </c>
    </row>
    <row r="352" customFormat="false" ht="15" hidden="false" customHeight="false" outlineLevel="0" collapsed="false">
      <c r="A352" s="6" t="n">
        <v>46174</v>
      </c>
      <c r="B352" s="4" t="n">
        <f aca="false">YEAR(A352)</f>
        <v>2026</v>
      </c>
      <c r="C352" s="4" t="n">
        <f aca="false">MONTH(A352)</f>
        <v>6</v>
      </c>
      <c r="D352" s="4" t="s">
        <v>40</v>
      </c>
      <c r="E352" s="4" t="s">
        <v>41</v>
      </c>
      <c r="F352" s="7" t="n">
        <v>9817415</v>
      </c>
      <c r="G352" s="7" t="n">
        <v>10693624</v>
      </c>
      <c r="H352" s="8" t="n">
        <f aca="false">IF(F352="","",IF(E352="Revenue",F352-G352,G352-F352))</f>
        <v>876209</v>
      </c>
      <c r="I352" s="9" t="n">
        <f aca="false">IF(OR(F352="",G352=0),"",H352/G352)</f>
        <v>0.081937517159758</v>
      </c>
    </row>
    <row r="353" customFormat="false" ht="15" hidden="false" customHeight="false" outlineLevel="0" collapsed="false">
      <c r="A353" s="6" t="n">
        <v>46174</v>
      </c>
      <c r="B353" s="4" t="n">
        <f aca="false">YEAR(A353)</f>
        <v>2026</v>
      </c>
      <c r="C353" s="4" t="n">
        <f aca="false">MONTH(A353)</f>
        <v>6</v>
      </c>
      <c r="D353" s="4" t="s">
        <v>42</v>
      </c>
      <c r="E353" s="4" t="s">
        <v>41</v>
      </c>
      <c r="F353" s="7" t="n">
        <v>1967948</v>
      </c>
      <c r="G353" s="7" t="n">
        <v>2001756</v>
      </c>
      <c r="H353" s="8" t="n">
        <f aca="false">IF(F353="","",IF(E353="Revenue",F353-G353,G353-F353))</f>
        <v>33808</v>
      </c>
      <c r="I353" s="9" t="n">
        <f aca="false">IF(OR(F353="",G353=0),"",H353/G353)</f>
        <v>0.0168891713075919</v>
      </c>
    </row>
    <row r="354" customFormat="false" ht="15" hidden="false" customHeight="false" outlineLevel="0" collapsed="false">
      <c r="A354" s="6" t="n">
        <v>46174</v>
      </c>
      <c r="B354" s="4" t="n">
        <f aca="false">YEAR(A354)</f>
        <v>2026</v>
      </c>
      <c r="C354" s="4" t="n">
        <f aca="false">MONTH(A354)</f>
        <v>6</v>
      </c>
      <c r="D354" s="4" t="s">
        <v>43</v>
      </c>
      <c r="E354" s="4" t="s">
        <v>44</v>
      </c>
      <c r="F354" s="7" t="n">
        <v>4343872</v>
      </c>
      <c r="G354" s="7" t="n">
        <v>4163029</v>
      </c>
      <c r="H354" s="8" t="n">
        <f aca="false">IF(F354="","",IF(E354="Revenue",F354-G354,G354-F354))</f>
        <v>-180843</v>
      </c>
      <c r="I354" s="9" t="n">
        <f aca="false">IF(OR(F354="",G354=0),"",H354/G354)</f>
        <v>-0.0434402450715573</v>
      </c>
    </row>
    <row r="355" customFormat="false" ht="15" hidden="false" customHeight="false" outlineLevel="0" collapsed="false">
      <c r="A355" s="6" t="n">
        <v>46174</v>
      </c>
      <c r="B355" s="4" t="n">
        <f aca="false">YEAR(A355)</f>
        <v>2026</v>
      </c>
      <c r="C355" s="4" t="n">
        <f aca="false">MONTH(A355)</f>
        <v>6</v>
      </c>
      <c r="D355" s="4" t="s">
        <v>45</v>
      </c>
      <c r="E355" s="4" t="s">
        <v>44</v>
      </c>
      <c r="F355" s="7" t="n">
        <v>1785120</v>
      </c>
      <c r="G355" s="7" t="n">
        <v>1601404</v>
      </c>
      <c r="H355" s="8" t="n">
        <f aca="false">IF(F355="","",IF(E355="Revenue",F355-G355,G355-F355))</f>
        <v>-183716</v>
      </c>
      <c r="I355" s="9" t="n">
        <f aca="false">IF(OR(F355="",G355=0),"",H355/G355)</f>
        <v>-0.114721831592777</v>
      </c>
    </row>
    <row r="356" customFormat="false" ht="15" hidden="false" customHeight="false" outlineLevel="0" collapsed="false">
      <c r="A356" s="6" t="n">
        <v>46174</v>
      </c>
      <c r="B356" s="4" t="n">
        <f aca="false">YEAR(A356)</f>
        <v>2026</v>
      </c>
      <c r="C356" s="4" t="n">
        <f aca="false">MONTH(A356)</f>
        <v>6</v>
      </c>
      <c r="D356" s="4" t="s">
        <v>46</v>
      </c>
      <c r="E356" s="4" t="s">
        <v>44</v>
      </c>
      <c r="F356" s="7" t="n">
        <v>635793</v>
      </c>
      <c r="G356" s="7" t="n">
        <v>635793</v>
      </c>
      <c r="H356" s="8" t="n">
        <f aca="false">IF(F356="","",IF(E356="Revenue",F356-G356,G356-F356))</f>
        <v>0</v>
      </c>
      <c r="I356" s="9" t="n">
        <f aca="false">IF(OR(F356="",G356=0),"",H356/G356)</f>
        <v>0</v>
      </c>
    </row>
    <row r="357" customFormat="false" ht="15" hidden="false" customHeight="false" outlineLevel="0" collapsed="false">
      <c r="A357" s="6" t="n">
        <v>46174</v>
      </c>
      <c r="B357" s="4" t="n">
        <f aca="false">YEAR(A357)</f>
        <v>2026</v>
      </c>
      <c r="C357" s="4" t="n">
        <f aca="false">MONTH(A357)</f>
        <v>6</v>
      </c>
      <c r="D357" s="4" t="s">
        <v>47</v>
      </c>
      <c r="E357" s="4" t="s">
        <v>44</v>
      </c>
      <c r="F357" s="7" t="n">
        <v>627936</v>
      </c>
      <c r="G357" s="7" t="n">
        <v>566980</v>
      </c>
      <c r="H357" s="8" t="n">
        <f aca="false">IF(F357="","",IF(E357="Revenue",F357-G357,G357-F357))</f>
        <v>-60956</v>
      </c>
      <c r="I357" s="9" t="n">
        <f aca="false">IF(OR(F357="",G357=0),"",H357/G357)</f>
        <v>-0.107509965078133</v>
      </c>
    </row>
    <row r="358" customFormat="false" ht="15" hidden="false" customHeight="false" outlineLevel="0" collapsed="false">
      <c r="A358" s="6" t="n">
        <v>46174</v>
      </c>
      <c r="B358" s="4" t="n">
        <f aca="false">YEAR(A358)</f>
        <v>2026</v>
      </c>
      <c r="C358" s="4" t="n">
        <f aca="false">MONTH(A358)</f>
        <v>6</v>
      </c>
      <c r="D358" s="4" t="s">
        <v>48</v>
      </c>
      <c r="E358" s="4" t="s">
        <v>44</v>
      </c>
      <c r="F358" s="7" t="n">
        <v>304254</v>
      </c>
      <c r="G358" s="7" t="n">
        <v>346687</v>
      </c>
      <c r="H358" s="8" t="n">
        <f aca="false">IF(F358="","",IF(E358="Revenue",F358-G358,G358-F358))</f>
        <v>42433</v>
      </c>
      <c r="I358" s="9" t="n">
        <f aca="false">IF(OR(F358="",G358=0),"",H358/G358)</f>
        <v>0.122395705636496</v>
      </c>
    </row>
    <row r="359" customFormat="false" ht="15" hidden="false" customHeight="false" outlineLevel="0" collapsed="false">
      <c r="A359" s="6" t="n">
        <v>46174</v>
      </c>
      <c r="B359" s="4" t="n">
        <f aca="false">YEAR(A359)</f>
        <v>2026</v>
      </c>
      <c r="C359" s="4" t="n">
        <f aca="false">MONTH(A359)</f>
        <v>6</v>
      </c>
      <c r="D359" s="4" t="s">
        <v>49</v>
      </c>
      <c r="E359" s="4" t="s">
        <v>50</v>
      </c>
      <c r="F359" s="7" t="n">
        <v>436302</v>
      </c>
      <c r="G359" s="7" t="n">
        <v>436302</v>
      </c>
      <c r="H359" s="8" t="n">
        <f aca="false">IF(F359="","",IF(E359="Revenue",F359-G359,G359-F359))</f>
        <v>0</v>
      </c>
      <c r="I359" s="9" t="n">
        <f aca="false">IF(OR(F359="",G359=0),"",H359/G359)</f>
        <v>0</v>
      </c>
    </row>
    <row r="360" customFormat="false" ht="15" hidden="false" customHeight="false" outlineLevel="0" collapsed="false">
      <c r="A360" s="6" t="n">
        <v>46174</v>
      </c>
      <c r="B360" s="4" t="n">
        <f aca="false">YEAR(A360)</f>
        <v>2026</v>
      </c>
      <c r="C360" s="4" t="n">
        <f aca="false">MONTH(A360)</f>
        <v>6</v>
      </c>
      <c r="D360" s="4" t="s">
        <v>51</v>
      </c>
      <c r="E360" s="4" t="s">
        <v>52</v>
      </c>
      <c r="F360" s="7" t="n">
        <v>268376</v>
      </c>
      <c r="G360" s="7" t="n">
        <v>250000</v>
      </c>
      <c r="H360" s="8" t="n">
        <f aca="false">IF(F360="","",IF(E360="Revenue",F360-G360,G360-F360))</f>
        <v>-18376</v>
      </c>
      <c r="I360" s="9" t="n">
        <f aca="false">IF(OR(F360="",G360=0),"",H360/G360)</f>
        <v>-0.073504</v>
      </c>
    </row>
    <row r="361" customFormat="false" ht="15" hidden="false" customHeight="false" outlineLevel="0" collapsed="false">
      <c r="A361" s="6" t="n">
        <v>46174</v>
      </c>
      <c r="B361" s="4" t="n">
        <f aca="false">YEAR(A361)</f>
        <v>2026</v>
      </c>
      <c r="C361" s="4" t="n">
        <f aca="false">MONTH(A361)</f>
        <v>6</v>
      </c>
      <c r="D361" s="4" t="s">
        <v>53</v>
      </c>
      <c r="E361" s="4" t="s">
        <v>54</v>
      </c>
      <c r="F361" s="7" t="n">
        <v>1165132</v>
      </c>
      <c r="G361" s="7" t="n">
        <v>1725220</v>
      </c>
      <c r="H361" s="8" t="n">
        <f aca="false">IF(F361="","",IF(E361="Revenue",F361-G361,G361-F361))</f>
        <v>560088</v>
      </c>
      <c r="I361" s="9" t="n">
        <f aca="false">IF(OR(F361="",G361=0),"",H361/G361)</f>
        <v>0.324647291359943</v>
      </c>
    </row>
    <row r="362" customFormat="false" ht="15" hidden="false" customHeight="false" outlineLevel="0" collapsed="false">
      <c r="A362" s="6" t="n">
        <v>46204</v>
      </c>
      <c r="B362" s="4" t="n">
        <f aca="false">YEAR(A362)</f>
        <v>2026</v>
      </c>
      <c r="C362" s="4" t="n">
        <f aca="false">MONTH(A362)</f>
        <v>7</v>
      </c>
      <c r="D362" s="4" t="s">
        <v>37</v>
      </c>
      <c r="E362" s="4" t="s">
        <v>38</v>
      </c>
      <c r="F362" s="7" t="n">
        <v>17987928</v>
      </c>
      <c r="G362" s="7" t="n">
        <v>20706244</v>
      </c>
      <c r="H362" s="8" t="n">
        <f aca="false">IF(F362="","",IF(E362="Revenue",F362-G362,G362-F362))</f>
        <v>-2718316</v>
      </c>
      <c r="I362" s="9" t="n">
        <f aca="false">IF(OR(F362="",G362=0),"",H362/G362)</f>
        <v>-0.131280013893394</v>
      </c>
    </row>
    <row r="363" customFormat="false" ht="15" hidden="false" customHeight="false" outlineLevel="0" collapsed="false">
      <c r="A363" s="6" t="n">
        <v>46204</v>
      </c>
      <c r="B363" s="4" t="n">
        <f aca="false">YEAR(A363)</f>
        <v>2026</v>
      </c>
      <c r="C363" s="4" t="n">
        <f aca="false">MONTH(A363)</f>
        <v>7</v>
      </c>
      <c r="D363" s="4" t="s">
        <v>39</v>
      </c>
      <c r="E363" s="4" t="s">
        <v>38</v>
      </c>
      <c r="F363" s="7" t="n">
        <v>6959948</v>
      </c>
      <c r="G363" s="7" t="n">
        <v>6902080</v>
      </c>
      <c r="H363" s="8" t="n">
        <f aca="false">IF(F363="","",IF(E363="Revenue",F363-G363,G363-F363))</f>
        <v>57868</v>
      </c>
      <c r="I363" s="9" t="n">
        <f aca="false">IF(OR(F363="",G363=0),"",H363/G363)</f>
        <v>0.008384139273958</v>
      </c>
    </row>
    <row r="364" customFormat="false" ht="15" hidden="false" customHeight="false" outlineLevel="0" collapsed="false">
      <c r="A364" s="6" t="n">
        <v>46204</v>
      </c>
      <c r="B364" s="4" t="n">
        <f aca="false">YEAR(A364)</f>
        <v>2026</v>
      </c>
      <c r="C364" s="4" t="n">
        <f aca="false">MONTH(A364)</f>
        <v>7</v>
      </c>
      <c r="D364" s="4" t="s">
        <v>40</v>
      </c>
      <c r="E364" s="4" t="s">
        <v>41</v>
      </c>
      <c r="F364" s="7" t="n">
        <v>9897857</v>
      </c>
      <c r="G364" s="7" t="n">
        <v>10698226</v>
      </c>
      <c r="H364" s="8" t="n">
        <f aca="false">IF(F364="","",IF(E364="Revenue",F364-G364,G364-F364))</f>
        <v>800369</v>
      </c>
      <c r="I364" s="9" t="n">
        <f aca="false">IF(OR(F364="",G364=0),"",H364/G364)</f>
        <v>0.0748132447379594</v>
      </c>
    </row>
    <row r="365" customFormat="false" ht="15" hidden="false" customHeight="false" outlineLevel="0" collapsed="false">
      <c r="A365" s="6" t="n">
        <v>46204</v>
      </c>
      <c r="B365" s="4" t="n">
        <f aca="false">YEAR(A365)</f>
        <v>2026</v>
      </c>
      <c r="C365" s="4" t="n">
        <f aca="false">MONTH(A365)</f>
        <v>7</v>
      </c>
      <c r="D365" s="4" t="s">
        <v>42</v>
      </c>
      <c r="E365" s="4" t="s">
        <v>41</v>
      </c>
      <c r="F365" s="7" t="n">
        <v>1992230</v>
      </c>
      <c r="G365" s="7" t="n">
        <v>2021773</v>
      </c>
      <c r="H365" s="8" t="n">
        <f aca="false">IF(F365="","",IF(E365="Revenue",F365-G365,G365-F365))</f>
        <v>29543</v>
      </c>
      <c r="I365" s="9" t="n">
        <f aca="false">IF(OR(F365="",G365=0),"",H365/G365)</f>
        <v>0.0146124218693197</v>
      </c>
    </row>
    <row r="366" customFormat="false" ht="15" hidden="false" customHeight="false" outlineLevel="0" collapsed="false">
      <c r="A366" s="6" t="n">
        <v>46204</v>
      </c>
      <c r="B366" s="4" t="n">
        <f aca="false">YEAR(A366)</f>
        <v>2026</v>
      </c>
      <c r="C366" s="4" t="n">
        <f aca="false">MONTH(A366)</f>
        <v>7</v>
      </c>
      <c r="D366" s="4" t="s">
        <v>43</v>
      </c>
      <c r="E366" s="4" t="s">
        <v>44</v>
      </c>
      <c r="F366" s="7" t="n">
        <v>4375297</v>
      </c>
      <c r="G366" s="7" t="n">
        <v>4188007</v>
      </c>
      <c r="H366" s="8" t="n">
        <f aca="false">IF(F366="","",IF(E366="Revenue",F366-G366,G366-F366))</f>
        <v>-187290</v>
      </c>
      <c r="I366" s="9" t="n">
        <f aca="false">IF(OR(F366="",G366=0),"",H366/G366)</f>
        <v>-0.0447205556246683</v>
      </c>
    </row>
    <row r="367" customFormat="false" ht="15" hidden="false" customHeight="false" outlineLevel="0" collapsed="false">
      <c r="A367" s="6" t="n">
        <v>46204</v>
      </c>
      <c r="B367" s="4" t="n">
        <f aca="false">YEAR(A367)</f>
        <v>2026</v>
      </c>
      <c r="C367" s="4" t="n">
        <f aca="false">MONTH(A367)</f>
        <v>7</v>
      </c>
      <c r="D367" s="4" t="s">
        <v>45</v>
      </c>
      <c r="E367" s="4" t="s">
        <v>44</v>
      </c>
      <c r="F367" s="7" t="n">
        <v>1810312</v>
      </c>
      <c r="G367" s="7" t="n">
        <v>1617420</v>
      </c>
      <c r="H367" s="8" t="n">
        <f aca="false">IF(F367="","",IF(E367="Revenue",F367-G367,G367-F367))</f>
        <v>-192892</v>
      </c>
      <c r="I367" s="9" t="n">
        <f aca="false">IF(OR(F367="",G367=0),"",H367/G367)</f>
        <v>-0.119259066909028</v>
      </c>
    </row>
    <row r="368" customFormat="false" ht="15" hidden="false" customHeight="false" outlineLevel="0" collapsed="false">
      <c r="A368" s="6" t="n">
        <v>46204</v>
      </c>
      <c r="B368" s="4" t="n">
        <f aca="false">YEAR(A368)</f>
        <v>2026</v>
      </c>
      <c r="C368" s="4" t="n">
        <f aca="false">MONTH(A368)</f>
        <v>7</v>
      </c>
      <c r="D368" s="4" t="s">
        <v>46</v>
      </c>
      <c r="E368" s="4" t="s">
        <v>44</v>
      </c>
      <c r="F368" s="7" t="n">
        <v>637064</v>
      </c>
      <c r="G368" s="7" t="n">
        <v>637064</v>
      </c>
      <c r="H368" s="8" t="n">
        <f aca="false">IF(F368="","",IF(E368="Revenue",F368-G368,G368-F368))</f>
        <v>0</v>
      </c>
      <c r="I368" s="9" t="n">
        <f aca="false">IF(OR(F368="",G368=0),"",H368/G368)</f>
        <v>0</v>
      </c>
    </row>
    <row r="369" customFormat="false" ht="15" hidden="false" customHeight="false" outlineLevel="0" collapsed="false">
      <c r="A369" s="6" t="n">
        <v>46204</v>
      </c>
      <c r="B369" s="4" t="n">
        <f aca="false">YEAR(A369)</f>
        <v>2026</v>
      </c>
      <c r="C369" s="4" t="n">
        <f aca="false">MONTH(A369)</f>
        <v>7</v>
      </c>
      <c r="D369" s="4" t="s">
        <v>47</v>
      </c>
      <c r="E369" s="4" t="s">
        <v>44</v>
      </c>
      <c r="F369" s="7" t="n">
        <v>635258</v>
      </c>
      <c r="G369" s="7" t="n">
        <v>571516</v>
      </c>
      <c r="H369" s="8" t="n">
        <f aca="false">IF(F369="","",IF(E369="Revenue",F369-G369,G369-F369))</f>
        <v>-63742</v>
      </c>
      <c r="I369" s="9" t="n">
        <f aca="false">IF(OR(F369="",G369=0),"",H369/G369)</f>
        <v>-0.111531435690339</v>
      </c>
    </row>
    <row r="370" customFormat="false" ht="15" hidden="false" customHeight="false" outlineLevel="0" collapsed="false">
      <c r="A370" s="6" t="n">
        <v>46204</v>
      </c>
      <c r="B370" s="4" t="n">
        <f aca="false">YEAR(A370)</f>
        <v>2026</v>
      </c>
      <c r="C370" s="4" t="n">
        <f aca="false">MONTH(A370)</f>
        <v>7</v>
      </c>
      <c r="D370" s="4" t="s">
        <v>48</v>
      </c>
      <c r="E370" s="4" t="s">
        <v>44</v>
      </c>
      <c r="F370" s="7" t="n">
        <v>306340</v>
      </c>
      <c r="G370" s="7" t="n">
        <v>348420</v>
      </c>
      <c r="H370" s="8" t="n">
        <f aca="false">IF(F370="","",IF(E370="Revenue",F370-G370,G370-F370))</f>
        <v>42080</v>
      </c>
      <c r="I370" s="9" t="n">
        <f aca="false">IF(OR(F370="",G370=0),"",H370/G370)</f>
        <v>0.120773778772746</v>
      </c>
    </row>
    <row r="371" customFormat="false" ht="15" hidden="false" customHeight="false" outlineLevel="0" collapsed="false">
      <c r="A371" s="6" t="n">
        <v>46204</v>
      </c>
      <c r="B371" s="4" t="n">
        <f aca="false">YEAR(A371)</f>
        <v>2026</v>
      </c>
      <c r="C371" s="4" t="n">
        <f aca="false">MONTH(A371)</f>
        <v>7</v>
      </c>
      <c r="D371" s="4" t="s">
        <v>49</v>
      </c>
      <c r="E371" s="4" t="s">
        <v>50</v>
      </c>
      <c r="F371" s="7" t="n">
        <v>437611</v>
      </c>
      <c r="G371" s="7" t="n">
        <v>437611</v>
      </c>
      <c r="H371" s="8" t="n">
        <f aca="false">IF(F371="","",IF(E371="Revenue",F371-G371,G371-F371))</f>
        <v>0</v>
      </c>
      <c r="I371" s="9" t="n">
        <f aca="false">IF(OR(F371="",G371=0),"",H371/G371)</f>
        <v>0</v>
      </c>
    </row>
    <row r="372" customFormat="false" ht="15" hidden="false" customHeight="false" outlineLevel="0" collapsed="false">
      <c r="A372" s="6" t="n">
        <v>46204</v>
      </c>
      <c r="B372" s="4" t="n">
        <f aca="false">YEAR(A372)</f>
        <v>2026</v>
      </c>
      <c r="C372" s="4" t="n">
        <f aca="false">MONTH(A372)</f>
        <v>7</v>
      </c>
      <c r="D372" s="4" t="s">
        <v>51</v>
      </c>
      <c r="E372" s="4" t="s">
        <v>52</v>
      </c>
      <c r="F372" s="7" t="n">
        <v>268751</v>
      </c>
      <c r="G372" s="7" t="n">
        <v>250000</v>
      </c>
      <c r="H372" s="8" t="n">
        <f aca="false">IF(F372="","",IF(E372="Revenue",F372-G372,G372-F372))</f>
        <v>-18751</v>
      </c>
      <c r="I372" s="9" t="n">
        <f aca="false">IF(OR(F372="",G372=0),"",H372/G372)</f>
        <v>-0.075004</v>
      </c>
    </row>
    <row r="373" customFormat="false" ht="15" hidden="false" customHeight="false" outlineLevel="0" collapsed="false">
      <c r="A373" s="6" t="n">
        <v>46204</v>
      </c>
      <c r="B373" s="4" t="n">
        <f aca="false">YEAR(A373)</f>
        <v>2026</v>
      </c>
      <c r="C373" s="4" t="n">
        <f aca="false">MONTH(A373)</f>
        <v>7</v>
      </c>
      <c r="D373" s="4" t="s">
        <v>53</v>
      </c>
      <c r="E373" s="4" t="s">
        <v>54</v>
      </c>
      <c r="F373" s="7" t="n">
        <v>1146790</v>
      </c>
      <c r="G373" s="7" t="n">
        <v>1709573</v>
      </c>
      <c r="H373" s="8" t="n">
        <f aca="false">IF(F373="","",IF(E373="Revenue",F373-G373,G373-F373))</f>
        <v>562783</v>
      </c>
      <c r="I373" s="9" t="n">
        <f aca="false">IF(OR(F373="",G373=0),"",H373/G373)</f>
        <v>0.32919506800821</v>
      </c>
    </row>
    <row r="374" customFormat="false" ht="15" hidden="false" customHeight="false" outlineLevel="0" collapsed="false">
      <c r="A374" s="6" t="n">
        <v>46235</v>
      </c>
      <c r="B374" s="4" t="n">
        <f aca="false">YEAR(A374)</f>
        <v>2026</v>
      </c>
      <c r="C374" s="4" t="n">
        <f aca="false">MONTH(A374)</f>
        <v>8</v>
      </c>
      <c r="D374" s="4" t="s">
        <v>37</v>
      </c>
      <c r="E374" s="4" t="s">
        <v>38</v>
      </c>
      <c r="F374" s="7" t="n">
        <v>17556636</v>
      </c>
      <c r="G374" s="7" t="n">
        <v>20180616</v>
      </c>
      <c r="H374" s="8" t="n">
        <f aca="false">IF(F374="","",IF(E374="Revenue",F374-G374,G374-F374))</f>
        <v>-2623980</v>
      </c>
      <c r="I374" s="9" t="n">
        <f aca="false">IF(OR(F374="",G374=0),"",H374/G374)</f>
        <v>-0.130024772286436</v>
      </c>
    </row>
    <row r="375" customFormat="false" ht="15" hidden="false" customHeight="false" outlineLevel="0" collapsed="false">
      <c r="A375" s="6" t="n">
        <v>46235</v>
      </c>
      <c r="B375" s="4" t="n">
        <f aca="false">YEAR(A375)</f>
        <v>2026</v>
      </c>
      <c r="C375" s="4" t="n">
        <f aca="false">MONTH(A375)</f>
        <v>8</v>
      </c>
      <c r="D375" s="4" t="s">
        <v>39</v>
      </c>
      <c r="E375" s="4" t="s">
        <v>38</v>
      </c>
      <c r="F375" s="7" t="n">
        <v>6674564</v>
      </c>
      <c r="G375" s="7" t="n">
        <v>6726873</v>
      </c>
      <c r="H375" s="8" t="n">
        <f aca="false">IF(F375="","",IF(E375="Revenue",F375-G375,G375-F375))</f>
        <v>-52309</v>
      </c>
      <c r="I375" s="9" t="n">
        <f aca="false">IF(OR(F375="",G375=0),"",H375/G375)</f>
        <v>-0.00777612421105616</v>
      </c>
    </row>
    <row r="376" customFormat="false" ht="15" hidden="false" customHeight="false" outlineLevel="0" collapsed="false">
      <c r="A376" s="6" t="n">
        <v>46235</v>
      </c>
      <c r="B376" s="4" t="n">
        <f aca="false">YEAR(A376)</f>
        <v>2026</v>
      </c>
      <c r="C376" s="4" t="n">
        <f aca="false">MONTH(A376)</f>
        <v>8</v>
      </c>
      <c r="D376" s="4" t="s">
        <v>40</v>
      </c>
      <c r="E376" s="4" t="s">
        <v>41</v>
      </c>
      <c r="F376" s="7" t="n">
        <v>9674146</v>
      </c>
      <c r="G376" s="7" t="n">
        <v>10426651</v>
      </c>
      <c r="H376" s="8" t="n">
        <f aca="false">IF(F376="","",IF(E376="Revenue",F376-G376,G376-F376))</f>
        <v>752505</v>
      </c>
      <c r="I376" s="9" t="n">
        <f aca="false">IF(OR(F376="",G376=0),"",H376/G376)</f>
        <v>0.0721713040937114</v>
      </c>
    </row>
    <row r="377" customFormat="false" ht="15" hidden="false" customHeight="false" outlineLevel="0" collapsed="false">
      <c r="A377" s="6" t="n">
        <v>46235</v>
      </c>
      <c r="B377" s="4" t="n">
        <f aca="false">YEAR(A377)</f>
        <v>2026</v>
      </c>
      <c r="C377" s="4" t="n">
        <f aca="false">MONTH(A377)</f>
        <v>8</v>
      </c>
      <c r="D377" s="4" t="s">
        <v>42</v>
      </c>
      <c r="E377" s="4" t="s">
        <v>41</v>
      </c>
      <c r="F377" s="7" t="n">
        <v>2013220</v>
      </c>
      <c r="G377" s="7" t="n">
        <v>2041991</v>
      </c>
      <c r="H377" s="8" t="n">
        <f aca="false">IF(F377="","",IF(E377="Revenue",F377-G377,G377-F377))</f>
        <v>28771</v>
      </c>
      <c r="I377" s="9" t="n">
        <f aca="false">IF(OR(F377="",G377=0),"",H377/G377)</f>
        <v>0.0140896801210191</v>
      </c>
    </row>
    <row r="378" customFormat="false" ht="15" hidden="false" customHeight="false" outlineLevel="0" collapsed="false">
      <c r="A378" s="6" t="n">
        <v>46235</v>
      </c>
      <c r="B378" s="4" t="n">
        <f aca="false">YEAR(A378)</f>
        <v>2026</v>
      </c>
      <c r="C378" s="4" t="n">
        <f aca="false">MONTH(A378)</f>
        <v>8</v>
      </c>
      <c r="D378" s="4" t="s">
        <v>43</v>
      </c>
      <c r="E378" s="4" t="s">
        <v>44</v>
      </c>
      <c r="F378" s="7" t="n">
        <v>4404173</v>
      </c>
      <c r="G378" s="7" t="n">
        <v>4213136</v>
      </c>
      <c r="H378" s="8" t="n">
        <f aca="false">IF(F378="","",IF(E378="Revenue",F378-G378,G378-F378))</f>
        <v>-191037</v>
      </c>
      <c r="I378" s="9" t="n">
        <f aca="false">IF(OR(F378="",G378=0),"",H378/G378)</f>
        <v>-0.0453431837946841</v>
      </c>
    </row>
    <row r="379" customFormat="false" ht="15" hidden="false" customHeight="false" outlineLevel="0" collapsed="false">
      <c r="A379" s="6" t="n">
        <v>46235</v>
      </c>
      <c r="B379" s="4" t="n">
        <f aca="false">YEAR(A379)</f>
        <v>2026</v>
      </c>
      <c r="C379" s="4" t="n">
        <f aca="false">MONTH(A379)</f>
        <v>8</v>
      </c>
      <c r="D379" s="4" t="s">
        <v>45</v>
      </c>
      <c r="E379" s="4" t="s">
        <v>44</v>
      </c>
      <c r="F379" s="7" t="n">
        <v>1834690</v>
      </c>
      <c r="G379" s="7" t="n">
        <v>1633593</v>
      </c>
      <c r="H379" s="8" t="n">
        <f aca="false">IF(F379="","",IF(E379="Revenue",F379-G379,G379-F379))</f>
        <v>-201097</v>
      </c>
      <c r="I379" s="9" t="n">
        <f aca="false">IF(OR(F379="",G379=0),"",H379/G379)</f>
        <v>-0.123101041691535</v>
      </c>
    </row>
    <row r="380" customFormat="false" ht="15" hidden="false" customHeight="false" outlineLevel="0" collapsed="false">
      <c r="A380" s="6" t="n">
        <v>46235</v>
      </c>
      <c r="B380" s="4" t="n">
        <f aca="false">YEAR(A380)</f>
        <v>2026</v>
      </c>
      <c r="C380" s="4" t="n">
        <f aca="false">MONTH(A380)</f>
        <v>8</v>
      </c>
      <c r="D380" s="4" t="s">
        <v>46</v>
      </c>
      <c r="E380" s="4" t="s">
        <v>44</v>
      </c>
      <c r="F380" s="7" t="n">
        <v>638337</v>
      </c>
      <c r="G380" s="7" t="n">
        <v>638337</v>
      </c>
      <c r="H380" s="8" t="n">
        <f aca="false">IF(F380="","",IF(E380="Revenue",F380-G380,G380-F380))</f>
        <v>0</v>
      </c>
      <c r="I380" s="9" t="n">
        <f aca="false">IF(OR(F380="",G380=0),"",H380/G380)</f>
        <v>0</v>
      </c>
    </row>
    <row r="381" customFormat="false" ht="15" hidden="false" customHeight="false" outlineLevel="0" collapsed="false">
      <c r="A381" s="6" t="n">
        <v>46235</v>
      </c>
      <c r="B381" s="4" t="n">
        <f aca="false">YEAR(A381)</f>
        <v>2026</v>
      </c>
      <c r="C381" s="4" t="n">
        <f aca="false">MONTH(A381)</f>
        <v>8</v>
      </c>
      <c r="D381" s="4" t="s">
        <v>47</v>
      </c>
      <c r="E381" s="4" t="s">
        <v>44</v>
      </c>
      <c r="F381" s="7" t="n">
        <v>641854</v>
      </c>
      <c r="G381" s="7" t="n">
        <v>576087</v>
      </c>
      <c r="H381" s="8" t="n">
        <f aca="false">IF(F381="","",IF(E381="Revenue",F381-G381,G381-F381))</f>
        <v>-65767</v>
      </c>
      <c r="I381" s="9" t="n">
        <f aca="false">IF(OR(F381="",G381=0),"",H381/G381)</f>
        <v>-0.114161576289692</v>
      </c>
    </row>
    <row r="382" customFormat="false" ht="15" hidden="false" customHeight="false" outlineLevel="0" collapsed="false">
      <c r="A382" s="6" t="n">
        <v>46235</v>
      </c>
      <c r="B382" s="4" t="n">
        <f aca="false">YEAR(A382)</f>
        <v>2026</v>
      </c>
      <c r="C382" s="4" t="n">
        <f aca="false">MONTH(A382)</f>
        <v>8</v>
      </c>
      <c r="D382" s="4" t="s">
        <v>48</v>
      </c>
      <c r="E382" s="4" t="s">
        <v>44</v>
      </c>
      <c r="F382" s="7" t="n">
        <v>308179</v>
      </c>
      <c r="G382" s="7" t="n">
        <v>350163</v>
      </c>
      <c r="H382" s="8" t="n">
        <f aca="false">IF(F382="","",IF(E382="Revenue",F382-G382,G382-F382))</f>
        <v>41984</v>
      </c>
      <c r="I382" s="9" t="n">
        <f aca="false">IF(OR(F382="",G382=0),"",H382/G382)</f>
        <v>0.119898447294546</v>
      </c>
    </row>
    <row r="383" customFormat="false" ht="15" hidden="false" customHeight="false" outlineLevel="0" collapsed="false">
      <c r="A383" s="6" t="n">
        <v>46235</v>
      </c>
      <c r="B383" s="4" t="n">
        <f aca="false">YEAR(A383)</f>
        <v>2026</v>
      </c>
      <c r="C383" s="4" t="n">
        <f aca="false">MONTH(A383)</f>
        <v>8</v>
      </c>
      <c r="D383" s="4" t="s">
        <v>49</v>
      </c>
      <c r="E383" s="4" t="s">
        <v>50</v>
      </c>
      <c r="F383" s="7" t="n">
        <v>438924</v>
      </c>
      <c r="G383" s="7" t="n">
        <v>438924</v>
      </c>
      <c r="H383" s="8" t="n">
        <f aca="false">IF(F383="","",IF(E383="Revenue",F383-G383,G383-F383))</f>
        <v>0</v>
      </c>
      <c r="I383" s="9" t="n">
        <f aca="false">IF(OR(F383="",G383=0),"",H383/G383)</f>
        <v>0</v>
      </c>
    </row>
    <row r="384" customFormat="false" ht="15" hidden="false" customHeight="false" outlineLevel="0" collapsed="false">
      <c r="A384" s="6" t="n">
        <v>46235</v>
      </c>
      <c r="B384" s="4" t="n">
        <f aca="false">YEAR(A384)</f>
        <v>2026</v>
      </c>
      <c r="C384" s="4" t="n">
        <f aca="false">MONTH(A384)</f>
        <v>8</v>
      </c>
      <c r="D384" s="4" t="s">
        <v>51</v>
      </c>
      <c r="E384" s="4" t="s">
        <v>52</v>
      </c>
      <c r="F384" s="7" t="n">
        <v>269126</v>
      </c>
      <c r="G384" s="7" t="n">
        <v>250000</v>
      </c>
      <c r="H384" s="8" t="n">
        <f aca="false">IF(F384="","",IF(E384="Revenue",F384-G384,G384-F384))</f>
        <v>-19126</v>
      </c>
      <c r="I384" s="9" t="n">
        <f aca="false">IF(OR(F384="",G384=0),"",H384/G384)</f>
        <v>-0.076504</v>
      </c>
    </row>
    <row r="385" customFormat="false" ht="15" hidden="false" customHeight="false" outlineLevel="0" collapsed="false">
      <c r="A385" s="6" t="n">
        <v>46235</v>
      </c>
      <c r="B385" s="4" t="n">
        <f aca="false">YEAR(A385)</f>
        <v>2026</v>
      </c>
      <c r="C385" s="4" t="n">
        <f aca="false">MONTH(A385)</f>
        <v>8</v>
      </c>
      <c r="D385" s="4" t="s">
        <v>53</v>
      </c>
      <c r="E385" s="4" t="s">
        <v>54</v>
      </c>
      <c r="F385" s="7" t="n">
        <v>1002138</v>
      </c>
      <c r="G385" s="7" t="n">
        <v>1584653</v>
      </c>
      <c r="H385" s="8" t="n">
        <f aca="false">IF(F385="","",IF(E385="Revenue",F385-G385,G385-F385))</f>
        <v>582515</v>
      </c>
      <c r="I385" s="9" t="n">
        <f aca="false">IF(OR(F385="",G385=0),"",H385/G385)</f>
        <v>0.367597827410796</v>
      </c>
    </row>
    <row r="386" customFormat="false" ht="15" hidden="false" customHeight="false" outlineLevel="0" collapsed="false">
      <c r="A386" s="6" t="n">
        <v>46266</v>
      </c>
      <c r="B386" s="4" t="n">
        <f aca="false">YEAR(A386)</f>
        <v>2026</v>
      </c>
      <c r="C386" s="4" t="n">
        <f aca="false">MONTH(A386)</f>
        <v>9</v>
      </c>
      <c r="D386" s="4" t="s">
        <v>37</v>
      </c>
      <c r="E386" s="4" t="s">
        <v>38</v>
      </c>
      <c r="F386" s="7" t="n">
        <v>16893763</v>
      </c>
      <c r="G386" s="7" t="n">
        <v>19323893</v>
      </c>
      <c r="H386" s="8" t="n">
        <f aca="false">IF(F386="","",IF(E386="Revenue",F386-G386,G386-F386))</f>
        <v>-2430130</v>
      </c>
      <c r="I386" s="9" t="n">
        <f aca="false">IF(OR(F386="",G386=0),"",H386/G386)</f>
        <v>-0.125757785969939</v>
      </c>
    </row>
    <row r="387" customFormat="false" ht="15" hidden="false" customHeight="false" outlineLevel="0" collapsed="false">
      <c r="A387" s="6" t="n">
        <v>46266</v>
      </c>
      <c r="B387" s="4" t="n">
        <f aca="false">YEAR(A387)</f>
        <v>2026</v>
      </c>
      <c r="C387" s="4" t="n">
        <f aca="false">MONTH(A387)</f>
        <v>9</v>
      </c>
      <c r="D387" s="4" t="s">
        <v>39</v>
      </c>
      <c r="E387" s="4" t="s">
        <v>38</v>
      </c>
      <c r="F387" s="7" t="n">
        <v>6451062</v>
      </c>
      <c r="G387" s="7" t="n">
        <v>6441297</v>
      </c>
      <c r="H387" s="8" t="n">
        <f aca="false">IF(F387="","",IF(E387="Revenue",F387-G387,G387-F387))</f>
        <v>9765</v>
      </c>
      <c r="I387" s="9" t="n">
        <f aca="false">IF(OR(F387="",G387=0),"",H387/G387)</f>
        <v>0.00151599902938803</v>
      </c>
    </row>
    <row r="388" customFormat="false" ht="15" hidden="false" customHeight="false" outlineLevel="0" collapsed="false">
      <c r="A388" s="6" t="n">
        <v>46266</v>
      </c>
      <c r="B388" s="4" t="n">
        <f aca="false">YEAR(A388)</f>
        <v>2026</v>
      </c>
      <c r="C388" s="4" t="n">
        <f aca="false">MONTH(A388)</f>
        <v>9</v>
      </c>
      <c r="D388" s="4" t="s">
        <v>40</v>
      </c>
      <c r="E388" s="4" t="s">
        <v>41</v>
      </c>
      <c r="F388" s="7" t="n">
        <v>9321978</v>
      </c>
      <c r="G388" s="7" t="n">
        <v>9984011</v>
      </c>
      <c r="H388" s="8" t="n">
        <f aca="false">IF(F388="","",IF(E388="Revenue",F388-G388,G388-F388))</f>
        <v>662033</v>
      </c>
      <c r="I388" s="9" t="n">
        <f aca="false">IF(OR(F388="",G388=0),"",H388/G388)</f>
        <v>0.0663093219749057</v>
      </c>
    </row>
    <row r="389" customFormat="false" ht="15" hidden="false" customHeight="false" outlineLevel="0" collapsed="false">
      <c r="A389" s="6" t="n">
        <v>46266</v>
      </c>
      <c r="B389" s="4" t="n">
        <f aca="false">YEAR(A389)</f>
        <v>2026</v>
      </c>
      <c r="C389" s="4" t="n">
        <f aca="false">MONTH(A389)</f>
        <v>9</v>
      </c>
      <c r="D389" s="4" t="s">
        <v>42</v>
      </c>
      <c r="E389" s="4" t="s">
        <v>41</v>
      </c>
      <c r="F389" s="7" t="n">
        <v>2037012</v>
      </c>
      <c r="G389" s="7" t="n">
        <v>2062411</v>
      </c>
      <c r="H389" s="8" t="n">
        <f aca="false">IF(F389="","",IF(E389="Revenue",F389-G389,G389-F389))</f>
        <v>25399</v>
      </c>
      <c r="I389" s="9" t="n">
        <f aca="false">IF(OR(F389="",G389=0),"",H389/G389)</f>
        <v>0.0123151980861235</v>
      </c>
    </row>
    <row r="390" customFormat="false" ht="15" hidden="false" customHeight="false" outlineLevel="0" collapsed="false">
      <c r="A390" s="6" t="n">
        <v>46266</v>
      </c>
      <c r="B390" s="4" t="n">
        <f aca="false">YEAR(A390)</f>
        <v>2026</v>
      </c>
      <c r="C390" s="4" t="n">
        <f aca="false">MONTH(A390)</f>
        <v>9</v>
      </c>
      <c r="D390" s="4" t="s">
        <v>43</v>
      </c>
      <c r="E390" s="4" t="s">
        <v>44</v>
      </c>
      <c r="F390" s="7" t="n">
        <v>4430446</v>
      </c>
      <c r="G390" s="7" t="n">
        <v>4238414</v>
      </c>
      <c r="H390" s="8" t="n">
        <f aca="false">IF(F390="","",IF(E390="Revenue",F390-G390,G390-F390))</f>
        <v>-192032</v>
      </c>
      <c r="I390" s="9" t="n">
        <f aca="false">IF(OR(F390="",G390=0),"",H390/G390)</f>
        <v>-0.0453075136124031</v>
      </c>
    </row>
    <row r="391" customFormat="false" ht="15" hidden="false" customHeight="false" outlineLevel="0" collapsed="false">
      <c r="A391" s="6" t="n">
        <v>46266</v>
      </c>
      <c r="B391" s="4" t="n">
        <f aca="false">YEAR(A391)</f>
        <v>2026</v>
      </c>
      <c r="C391" s="4" t="n">
        <f aca="false">MONTH(A391)</f>
        <v>9</v>
      </c>
      <c r="D391" s="4" t="s">
        <v>45</v>
      </c>
      <c r="E391" s="4" t="s">
        <v>44</v>
      </c>
      <c r="F391" s="7" t="n">
        <v>1860550</v>
      </c>
      <c r="G391" s="7" t="n">
        <v>1649929</v>
      </c>
      <c r="H391" s="8" t="n">
        <f aca="false">IF(F391="","",IF(E391="Revenue",F391-G391,G391-F391))</f>
        <v>-210621</v>
      </c>
      <c r="I391" s="9" t="n">
        <f aca="false">IF(OR(F391="",G391=0),"",H391/G391)</f>
        <v>-0.12765458392452</v>
      </c>
    </row>
    <row r="392" customFormat="false" ht="15" hidden="false" customHeight="false" outlineLevel="0" collapsed="false">
      <c r="A392" s="6" t="n">
        <v>46266</v>
      </c>
      <c r="B392" s="4" t="n">
        <f aca="false">YEAR(A392)</f>
        <v>2026</v>
      </c>
      <c r="C392" s="4" t="n">
        <f aca="false">MONTH(A392)</f>
        <v>9</v>
      </c>
      <c r="D392" s="4" t="s">
        <v>46</v>
      </c>
      <c r="E392" s="4" t="s">
        <v>44</v>
      </c>
      <c r="F392" s="7" t="n">
        <v>639614</v>
      </c>
      <c r="G392" s="7" t="n">
        <v>639614</v>
      </c>
      <c r="H392" s="8" t="n">
        <f aca="false">IF(F392="","",IF(E392="Revenue",F392-G392,G392-F392))</f>
        <v>0</v>
      </c>
      <c r="I392" s="9" t="n">
        <f aca="false">IF(OR(F392="",G392=0),"",H392/G392)</f>
        <v>0</v>
      </c>
    </row>
    <row r="393" customFormat="false" ht="15" hidden="false" customHeight="false" outlineLevel="0" collapsed="false">
      <c r="A393" s="6" t="n">
        <v>46266</v>
      </c>
      <c r="B393" s="4" t="n">
        <f aca="false">YEAR(A393)</f>
        <v>2026</v>
      </c>
      <c r="C393" s="4" t="n">
        <f aca="false">MONTH(A393)</f>
        <v>9</v>
      </c>
      <c r="D393" s="4" t="s">
        <v>47</v>
      </c>
      <c r="E393" s="4" t="s">
        <v>44</v>
      </c>
      <c r="F393" s="7" t="n">
        <v>647695</v>
      </c>
      <c r="G393" s="7" t="n">
        <v>580697</v>
      </c>
      <c r="H393" s="8" t="n">
        <f aca="false">IF(F393="","",IF(E393="Revenue",F393-G393,G393-F393))</f>
        <v>-66998</v>
      </c>
      <c r="I393" s="9" t="n">
        <f aca="false">IF(OR(F393="",G393=0),"",H393/G393)</f>
        <v>-0.115375144007977</v>
      </c>
    </row>
    <row r="394" customFormat="false" ht="15" hidden="false" customHeight="false" outlineLevel="0" collapsed="false">
      <c r="A394" s="6" t="n">
        <v>46266</v>
      </c>
      <c r="B394" s="4" t="n">
        <f aca="false">YEAR(A394)</f>
        <v>2026</v>
      </c>
      <c r="C394" s="4" t="n">
        <f aca="false">MONTH(A394)</f>
        <v>9</v>
      </c>
      <c r="D394" s="4" t="s">
        <v>48</v>
      </c>
      <c r="E394" s="4" t="s">
        <v>44</v>
      </c>
      <c r="F394" s="7" t="n">
        <v>310291</v>
      </c>
      <c r="G394" s="7" t="n">
        <v>351913</v>
      </c>
      <c r="H394" s="8" t="n">
        <f aca="false">IF(F394="","",IF(E394="Revenue",F394-G394,G394-F394))</f>
        <v>41622</v>
      </c>
      <c r="I394" s="9" t="n">
        <f aca="false">IF(OR(F394="",G394=0),"",H394/G394)</f>
        <v>0.118273550565054</v>
      </c>
    </row>
    <row r="395" customFormat="false" ht="15" hidden="false" customHeight="false" outlineLevel="0" collapsed="false">
      <c r="A395" s="6" t="n">
        <v>46266</v>
      </c>
      <c r="B395" s="4" t="n">
        <f aca="false">YEAR(A395)</f>
        <v>2026</v>
      </c>
      <c r="C395" s="4" t="n">
        <f aca="false">MONTH(A395)</f>
        <v>9</v>
      </c>
      <c r="D395" s="4" t="s">
        <v>49</v>
      </c>
      <c r="E395" s="4" t="s">
        <v>50</v>
      </c>
      <c r="F395" s="7" t="n">
        <v>440240</v>
      </c>
      <c r="G395" s="7" t="n">
        <v>440240</v>
      </c>
      <c r="H395" s="8" t="n">
        <f aca="false">IF(F395="","",IF(E395="Revenue",F395-G395,G395-F395))</f>
        <v>0</v>
      </c>
      <c r="I395" s="9" t="n">
        <f aca="false">IF(OR(F395="",G395=0),"",H395/G395)</f>
        <v>0</v>
      </c>
    </row>
    <row r="396" customFormat="false" ht="15" hidden="false" customHeight="false" outlineLevel="0" collapsed="false">
      <c r="A396" s="6" t="n">
        <v>46266</v>
      </c>
      <c r="B396" s="4" t="n">
        <f aca="false">YEAR(A396)</f>
        <v>2026</v>
      </c>
      <c r="C396" s="4" t="n">
        <f aca="false">MONTH(A396)</f>
        <v>9</v>
      </c>
      <c r="D396" s="4" t="s">
        <v>51</v>
      </c>
      <c r="E396" s="4" t="s">
        <v>52</v>
      </c>
      <c r="F396" s="7" t="n">
        <v>269500</v>
      </c>
      <c r="G396" s="7" t="n">
        <v>250000</v>
      </c>
      <c r="H396" s="8" t="n">
        <f aca="false">IF(F396="","",IF(E396="Revenue",F396-G396,G396-F396))</f>
        <v>-19500</v>
      </c>
      <c r="I396" s="9" t="n">
        <f aca="false">IF(OR(F396="",G396=0),"",H396/G396)</f>
        <v>-0.078</v>
      </c>
    </row>
    <row r="397" customFormat="false" ht="15" hidden="false" customHeight="false" outlineLevel="0" collapsed="false">
      <c r="A397" s="6" t="n">
        <v>46266</v>
      </c>
      <c r="B397" s="4" t="n">
        <f aca="false">YEAR(A397)</f>
        <v>2026</v>
      </c>
      <c r="C397" s="4" t="n">
        <f aca="false">MONTH(A397)</f>
        <v>9</v>
      </c>
      <c r="D397" s="4" t="s">
        <v>53</v>
      </c>
      <c r="E397" s="4" t="s">
        <v>54</v>
      </c>
      <c r="F397" s="7" t="n">
        <v>846875</v>
      </c>
      <c r="G397" s="7" t="n">
        <v>1391990</v>
      </c>
      <c r="H397" s="8" t="n">
        <f aca="false">IF(F397="","",IF(E397="Revenue",F397-G397,G397-F397))</f>
        <v>545115</v>
      </c>
      <c r="I397" s="9" t="n">
        <f aca="false">IF(OR(F397="",G397=0),"",H397/G397)</f>
        <v>0.391608416727132</v>
      </c>
    </row>
    <row r="398" customFormat="false" ht="15" hidden="false" customHeight="false" outlineLevel="0" collapsed="false">
      <c r="A398" s="6" t="n">
        <v>46296</v>
      </c>
      <c r="B398" s="4" t="n">
        <f aca="false">YEAR(A398)</f>
        <v>2026</v>
      </c>
      <c r="C398" s="4" t="n">
        <f aca="false">MONTH(A398)</f>
        <v>10</v>
      </c>
      <c r="D398" s="4" t="s">
        <v>37</v>
      </c>
      <c r="E398" s="4" t="s">
        <v>38</v>
      </c>
      <c r="F398" s="7"/>
      <c r="G398" s="7" t="n">
        <v>18436926</v>
      </c>
      <c r="H398" s="8" t="str">
        <f aca="false">IF(F398="","",IF(E398="Revenue",F398-G398,G398-F398))</f>
        <v/>
      </c>
      <c r="I398" s="9" t="str">
        <f aca="false">IF(OR(F398="",G398=0),"",H398/G398)</f>
        <v/>
      </c>
    </row>
    <row r="399" customFormat="false" ht="15" hidden="false" customHeight="false" outlineLevel="0" collapsed="false">
      <c r="A399" s="6" t="n">
        <v>46296</v>
      </c>
      <c r="B399" s="4" t="n">
        <f aca="false">YEAR(A399)</f>
        <v>2026</v>
      </c>
      <c r="C399" s="4" t="n">
        <f aca="false">MONTH(A399)</f>
        <v>10</v>
      </c>
      <c r="D399" s="4" t="s">
        <v>39</v>
      </c>
      <c r="E399" s="4" t="s">
        <v>38</v>
      </c>
      <c r="F399" s="7"/>
      <c r="G399" s="7" t="n">
        <v>6145642</v>
      </c>
      <c r="H399" s="8" t="str">
        <f aca="false">IF(F399="","",IF(E399="Revenue",F399-G399,G399-F399))</f>
        <v/>
      </c>
      <c r="I399" s="9" t="str">
        <f aca="false">IF(OR(F399="",G399=0),"",H399/G399)</f>
        <v/>
      </c>
    </row>
    <row r="400" customFormat="false" ht="15" hidden="false" customHeight="false" outlineLevel="0" collapsed="false">
      <c r="A400" s="6" t="n">
        <v>46296</v>
      </c>
      <c r="B400" s="4" t="n">
        <f aca="false">YEAR(A400)</f>
        <v>2026</v>
      </c>
      <c r="C400" s="4" t="n">
        <f aca="false">MONTH(A400)</f>
        <v>10</v>
      </c>
      <c r="D400" s="4" t="s">
        <v>40</v>
      </c>
      <c r="E400" s="4" t="s">
        <v>41</v>
      </c>
      <c r="F400" s="7"/>
      <c r="G400" s="7" t="n">
        <v>9525744</v>
      </c>
      <c r="H400" s="8" t="str">
        <f aca="false">IF(F400="","",IF(E400="Revenue",F400-G400,G400-F400))</f>
        <v/>
      </c>
      <c r="I400" s="9" t="str">
        <f aca="false">IF(OR(F400="",G400=0),"",H400/G400)</f>
        <v/>
      </c>
    </row>
    <row r="401" customFormat="false" ht="15" hidden="false" customHeight="false" outlineLevel="0" collapsed="false">
      <c r="A401" s="6" t="n">
        <v>46296</v>
      </c>
      <c r="B401" s="4" t="n">
        <f aca="false">YEAR(A401)</f>
        <v>2026</v>
      </c>
      <c r="C401" s="4" t="n">
        <f aca="false">MONTH(A401)</f>
        <v>10</v>
      </c>
      <c r="D401" s="4" t="s">
        <v>42</v>
      </c>
      <c r="E401" s="4" t="s">
        <v>41</v>
      </c>
      <c r="F401" s="7"/>
      <c r="G401" s="7" t="n">
        <v>2083036</v>
      </c>
      <c r="H401" s="8" t="str">
        <f aca="false">IF(F401="","",IF(E401="Revenue",F401-G401,G401-F401))</f>
        <v/>
      </c>
      <c r="I401" s="9" t="str">
        <f aca="false">IF(OR(F401="",G401=0),"",H401/G401)</f>
        <v/>
      </c>
    </row>
    <row r="402" customFormat="false" ht="15" hidden="false" customHeight="false" outlineLevel="0" collapsed="false">
      <c r="A402" s="6" t="n">
        <v>46296</v>
      </c>
      <c r="B402" s="4" t="n">
        <f aca="false">YEAR(A402)</f>
        <v>2026</v>
      </c>
      <c r="C402" s="4" t="n">
        <f aca="false">MONTH(A402)</f>
        <v>10</v>
      </c>
      <c r="D402" s="4" t="s">
        <v>43</v>
      </c>
      <c r="E402" s="4" t="s">
        <v>44</v>
      </c>
      <c r="F402" s="7"/>
      <c r="G402" s="7" t="n">
        <v>4263844</v>
      </c>
      <c r="H402" s="8" t="str">
        <f aca="false">IF(F402="","",IF(E402="Revenue",F402-G402,G402-F402))</f>
        <v/>
      </c>
      <c r="I402" s="9" t="str">
        <f aca="false">IF(OR(F402="",G402=0),"",H402/G402)</f>
        <v/>
      </c>
    </row>
    <row r="403" customFormat="false" ht="15" hidden="false" customHeight="false" outlineLevel="0" collapsed="false">
      <c r="A403" s="6" t="n">
        <v>46296</v>
      </c>
      <c r="B403" s="4" t="n">
        <f aca="false">YEAR(A403)</f>
        <v>2026</v>
      </c>
      <c r="C403" s="4" t="n">
        <f aca="false">MONTH(A403)</f>
        <v>10</v>
      </c>
      <c r="D403" s="4" t="s">
        <v>45</v>
      </c>
      <c r="E403" s="4" t="s">
        <v>44</v>
      </c>
      <c r="F403" s="7"/>
      <c r="G403" s="7" t="n">
        <v>1666427</v>
      </c>
      <c r="H403" s="8" t="str">
        <f aca="false">IF(F403="","",IF(E403="Revenue",F403-G403,G403-F403))</f>
        <v/>
      </c>
      <c r="I403" s="9" t="str">
        <f aca="false">IF(OR(F403="",G403=0),"",H403/G403)</f>
        <v/>
      </c>
    </row>
    <row r="404" customFormat="false" ht="15" hidden="false" customHeight="false" outlineLevel="0" collapsed="false">
      <c r="A404" s="6" t="n">
        <v>46296</v>
      </c>
      <c r="B404" s="4" t="n">
        <f aca="false">YEAR(A404)</f>
        <v>2026</v>
      </c>
      <c r="C404" s="4" t="n">
        <f aca="false">MONTH(A404)</f>
        <v>10</v>
      </c>
      <c r="D404" s="4" t="s">
        <v>46</v>
      </c>
      <c r="E404" s="4" t="s">
        <v>44</v>
      </c>
      <c r="F404" s="7"/>
      <c r="G404" s="7" t="n">
        <v>640893</v>
      </c>
      <c r="H404" s="8" t="str">
        <f aca="false">IF(F404="","",IF(E404="Revenue",F404-G404,G404-F404))</f>
        <v/>
      </c>
      <c r="I404" s="9" t="str">
        <f aca="false">IF(OR(F404="",G404=0),"",H404/G404)</f>
        <v/>
      </c>
    </row>
    <row r="405" customFormat="false" ht="15" hidden="false" customHeight="false" outlineLevel="0" collapsed="false">
      <c r="A405" s="6" t="n">
        <v>46296</v>
      </c>
      <c r="B405" s="4" t="n">
        <f aca="false">YEAR(A405)</f>
        <v>2026</v>
      </c>
      <c r="C405" s="4" t="n">
        <f aca="false">MONTH(A405)</f>
        <v>10</v>
      </c>
      <c r="D405" s="4" t="s">
        <v>47</v>
      </c>
      <c r="E405" s="4" t="s">
        <v>44</v>
      </c>
      <c r="F405" s="7"/>
      <c r="G405" s="7" t="n">
        <v>585343</v>
      </c>
      <c r="H405" s="8" t="str">
        <f aca="false">IF(F405="","",IF(E405="Revenue",F405-G405,G405-F405))</f>
        <v/>
      </c>
      <c r="I405" s="9" t="str">
        <f aca="false">IF(OR(F405="",G405=0),"",H405/G405)</f>
        <v/>
      </c>
    </row>
    <row r="406" customFormat="false" ht="15" hidden="false" customHeight="false" outlineLevel="0" collapsed="false">
      <c r="A406" s="6" t="n">
        <v>46296</v>
      </c>
      <c r="B406" s="4" t="n">
        <f aca="false">YEAR(A406)</f>
        <v>2026</v>
      </c>
      <c r="C406" s="4" t="n">
        <f aca="false">MONTH(A406)</f>
        <v>10</v>
      </c>
      <c r="D406" s="4" t="s">
        <v>48</v>
      </c>
      <c r="E406" s="4" t="s">
        <v>44</v>
      </c>
      <c r="F406" s="7"/>
      <c r="G406" s="7" t="n">
        <v>353673</v>
      </c>
      <c r="H406" s="8" t="str">
        <f aca="false">IF(F406="","",IF(E406="Revenue",F406-G406,G406-F406))</f>
        <v/>
      </c>
      <c r="I406" s="9" t="str">
        <f aca="false">IF(OR(F406="",G406=0),"",H406/G406)</f>
        <v/>
      </c>
    </row>
    <row r="407" customFormat="false" ht="15" hidden="false" customHeight="false" outlineLevel="0" collapsed="false">
      <c r="A407" s="6" t="n">
        <v>46296</v>
      </c>
      <c r="B407" s="4" t="n">
        <f aca="false">YEAR(A407)</f>
        <v>2026</v>
      </c>
      <c r="C407" s="4" t="n">
        <f aca="false">MONTH(A407)</f>
        <v>10</v>
      </c>
      <c r="D407" s="4" t="s">
        <v>49</v>
      </c>
      <c r="E407" s="4" t="s">
        <v>50</v>
      </c>
      <c r="F407" s="7"/>
      <c r="G407" s="7" t="n">
        <v>441560</v>
      </c>
      <c r="H407" s="8" t="str">
        <f aca="false">IF(F407="","",IF(E407="Revenue",F407-G407,G407-F407))</f>
        <v/>
      </c>
      <c r="I407" s="9" t="str">
        <f aca="false">IF(OR(F407="",G407=0),"",H407/G407)</f>
        <v/>
      </c>
    </row>
    <row r="408" customFormat="false" ht="15" hidden="false" customHeight="false" outlineLevel="0" collapsed="false">
      <c r="A408" s="6" t="n">
        <v>46296</v>
      </c>
      <c r="B408" s="4" t="n">
        <f aca="false">YEAR(A408)</f>
        <v>2026</v>
      </c>
      <c r="C408" s="4" t="n">
        <f aca="false">MONTH(A408)</f>
        <v>10</v>
      </c>
      <c r="D408" s="4" t="s">
        <v>51</v>
      </c>
      <c r="E408" s="4" t="s">
        <v>52</v>
      </c>
      <c r="F408" s="7"/>
      <c r="G408" s="7" t="n">
        <v>250000</v>
      </c>
      <c r="H408" s="8" t="str">
        <f aca="false">IF(F408="","",IF(E408="Revenue",F408-G408,G408-F408))</f>
        <v/>
      </c>
      <c r="I408" s="9" t="str">
        <f aca="false">IF(OR(F408="",G408=0),"",H408/G408)</f>
        <v/>
      </c>
    </row>
    <row r="409" customFormat="false" ht="15" hidden="false" customHeight="false" outlineLevel="0" collapsed="false">
      <c r="A409" s="6" t="n">
        <v>46296</v>
      </c>
      <c r="B409" s="4" t="n">
        <f aca="false">YEAR(A409)</f>
        <v>2026</v>
      </c>
      <c r="C409" s="4" t="n">
        <f aca="false">MONTH(A409)</f>
        <v>10</v>
      </c>
      <c r="D409" s="4" t="s">
        <v>53</v>
      </c>
      <c r="E409" s="4" t="s">
        <v>54</v>
      </c>
      <c r="F409" s="7"/>
      <c r="G409" s="7" t="n">
        <v>1193013</v>
      </c>
      <c r="H409" s="8" t="str">
        <f aca="false">IF(F409="","",IF(E409="Revenue",F409-G409,G409-F409))</f>
        <v/>
      </c>
      <c r="I409" s="9" t="str">
        <f aca="false">IF(OR(F409="",G409=0),"",H409/G409)</f>
        <v/>
      </c>
    </row>
    <row r="410" customFormat="false" ht="15" hidden="false" customHeight="false" outlineLevel="0" collapsed="false">
      <c r="A410" s="6" t="n">
        <v>46327</v>
      </c>
      <c r="B410" s="4" t="n">
        <f aca="false">YEAR(A410)</f>
        <v>2026</v>
      </c>
      <c r="C410" s="4" t="n">
        <f aca="false">MONTH(A410)</f>
        <v>11</v>
      </c>
      <c r="D410" s="4" t="s">
        <v>37</v>
      </c>
      <c r="E410" s="4" t="s">
        <v>38</v>
      </c>
      <c r="F410" s="7"/>
      <c r="G410" s="7" t="n">
        <v>17839060</v>
      </c>
      <c r="H410" s="8" t="str">
        <f aca="false">IF(F410="","",IF(E410="Revenue",F410-G410,G410-F410))</f>
        <v/>
      </c>
      <c r="I410" s="9" t="str">
        <f aca="false">IF(OR(F410="",G410=0),"",H410/G410)</f>
        <v/>
      </c>
    </row>
    <row r="411" customFormat="false" ht="15" hidden="false" customHeight="false" outlineLevel="0" collapsed="false">
      <c r="A411" s="6" t="n">
        <v>46327</v>
      </c>
      <c r="B411" s="4" t="n">
        <f aca="false">YEAR(A411)</f>
        <v>2026</v>
      </c>
      <c r="C411" s="4" t="n">
        <f aca="false">MONTH(A411)</f>
        <v>11</v>
      </c>
      <c r="D411" s="4" t="s">
        <v>39</v>
      </c>
      <c r="E411" s="4" t="s">
        <v>38</v>
      </c>
      <c r="F411" s="7"/>
      <c r="G411" s="7" t="n">
        <v>5946353</v>
      </c>
      <c r="H411" s="8" t="str">
        <f aca="false">IF(F411="","",IF(E411="Revenue",F411-G411,G411-F411))</f>
        <v/>
      </c>
      <c r="I411" s="9" t="str">
        <f aca="false">IF(OR(F411="",G411=0),"",H411/G411)</f>
        <v/>
      </c>
    </row>
    <row r="412" customFormat="false" ht="15" hidden="false" customHeight="false" outlineLevel="0" collapsed="false">
      <c r="A412" s="6" t="n">
        <v>46327</v>
      </c>
      <c r="B412" s="4" t="n">
        <f aca="false">YEAR(A412)</f>
        <v>2026</v>
      </c>
      <c r="C412" s="4" t="n">
        <f aca="false">MONTH(A412)</f>
        <v>11</v>
      </c>
      <c r="D412" s="4" t="s">
        <v>40</v>
      </c>
      <c r="E412" s="4" t="s">
        <v>41</v>
      </c>
      <c r="F412" s="7"/>
      <c r="G412" s="7" t="n">
        <v>9216847</v>
      </c>
      <c r="H412" s="8" t="str">
        <f aca="false">IF(F412="","",IF(E412="Revenue",F412-G412,G412-F412))</f>
        <v/>
      </c>
      <c r="I412" s="9" t="str">
        <f aca="false">IF(OR(F412="",G412=0),"",H412/G412)</f>
        <v/>
      </c>
    </row>
    <row r="413" customFormat="false" ht="15" hidden="false" customHeight="false" outlineLevel="0" collapsed="false">
      <c r="A413" s="6" t="n">
        <v>46327</v>
      </c>
      <c r="B413" s="4" t="n">
        <f aca="false">YEAR(A413)</f>
        <v>2026</v>
      </c>
      <c r="C413" s="4" t="n">
        <f aca="false">MONTH(A413)</f>
        <v>11</v>
      </c>
      <c r="D413" s="4" t="s">
        <v>42</v>
      </c>
      <c r="E413" s="4" t="s">
        <v>41</v>
      </c>
      <c r="F413" s="7"/>
      <c r="G413" s="7" t="n">
        <v>2103866</v>
      </c>
      <c r="H413" s="8" t="str">
        <f aca="false">IF(F413="","",IF(E413="Revenue",F413-G413,G413-F413))</f>
        <v/>
      </c>
      <c r="I413" s="9" t="str">
        <f aca="false">IF(OR(F413="",G413=0),"",H413/G413)</f>
        <v/>
      </c>
    </row>
    <row r="414" customFormat="false" ht="15" hidden="false" customHeight="false" outlineLevel="0" collapsed="false">
      <c r="A414" s="6" t="n">
        <v>46327</v>
      </c>
      <c r="B414" s="4" t="n">
        <f aca="false">YEAR(A414)</f>
        <v>2026</v>
      </c>
      <c r="C414" s="4" t="n">
        <f aca="false">MONTH(A414)</f>
        <v>11</v>
      </c>
      <c r="D414" s="4" t="s">
        <v>43</v>
      </c>
      <c r="E414" s="4" t="s">
        <v>44</v>
      </c>
      <c r="F414" s="7"/>
      <c r="G414" s="7" t="n">
        <v>4289427</v>
      </c>
      <c r="H414" s="8" t="str">
        <f aca="false">IF(F414="","",IF(E414="Revenue",F414-G414,G414-F414))</f>
        <v/>
      </c>
      <c r="I414" s="9" t="str">
        <f aca="false">IF(OR(F414="",G414=0),"",H414/G414)</f>
        <v/>
      </c>
    </row>
    <row r="415" customFormat="false" ht="15" hidden="false" customHeight="false" outlineLevel="0" collapsed="false">
      <c r="A415" s="6" t="n">
        <v>46327</v>
      </c>
      <c r="B415" s="4" t="n">
        <f aca="false">YEAR(A415)</f>
        <v>2026</v>
      </c>
      <c r="C415" s="4" t="n">
        <f aca="false">MONTH(A415)</f>
        <v>11</v>
      </c>
      <c r="D415" s="4" t="s">
        <v>45</v>
      </c>
      <c r="E415" s="4" t="s">
        <v>44</v>
      </c>
      <c r="F415" s="7"/>
      <c r="G415" s="7" t="n">
        <v>1683093</v>
      </c>
      <c r="H415" s="8" t="str">
        <f aca="false">IF(F415="","",IF(E415="Revenue",F415-G415,G415-F415))</f>
        <v/>
      </c>
      <c r="I415" s="9" t="str">
        <f aca="false">IF(OR(F415="",G415=0),"",H415/G415)</f>
        <v/>
      </c>
    </row>
    <row r="416" customFormat="false" ht="15" hidden="false" customHeight="false" outlineLevel="0" collapsed="false">
      <c r="A416" s="6" t="n">
        <v>46327</v>
      </c>
      <c r="B416" s="4" t="n">
        <f aca="false">YEAR(A416)</f>
        <v>2026</v>
      </c>
      <c r="C416" s="4" t="n">
        <f aca="false">MONTH(A416)</f>
        <v>11</v>
      </c>
      <c r="D416" s="4" t="s">
        <v>46</v>
      </c>
      <c r="E416" s="4" t="s">
        <v>44</v>
      </c>
      <c r="F416" s="7"/>
      <c r="G416" s="7" t="n">
        <v>642176</v>
      </c>
      <c r="H416" s="8" t="str">
        <f aca="false">IF(F416="","",IF(E416="Revenue",F416-G416,G416-F416))</f>
        <v/>
      </c>
      <c r="I416" s="9" t="str">
        <f aca="false">IF(OR(F416="",G416=0),"",H416/G416)</f>
        <v/>
      </c>
    </row>
    <row r="417" customFormat="false" ht="15" hidden="false" customHeight="false" outlineLevel="0" collapsed="false">
      <c r="A417" s="6" t="n">
        <v>46327</v>
      </c>
      <c r="B417" s="4" t="n">
        <f aca="false">YEAR(A417)</f>
        <v>2026</v>
      </c>
      <c r="C417" s="4" t="n">
        <f aca="false">MONTH(A417)</f>
        <v>11</v>
      </c>
      <c r="D417" s="4" t="s">
        <v>47</v>
      </c>
      <c r="E417" s="4" t="s">
        <v>44</v>
      </c>
      <c r="F417" s="7"/>
      <c r="G417" s="7" t="n">
        <v>590026</v>
      </c>
      <c r="H417" s="8" t="str">
        <f aca="false">IF(F417="","",IF(E417="Revenue",F417-G417,G417-F417))</f>
        <v/>
      </c>
      <c r="I417" s="9" t="str">
        <f aca="false">IF(OR(F417="",G417=0),"",H417/G417)</f>
        <v/>
      </c>
    </row>
    <row r="418" customFormat="false" ht="15" hidden="false" customHeight="false" outlineLevel="0" collapsed="false">
      <c r="A418" s="6" t="n">
        <v>46327</v>
      </c>
      <c r="B418" s="4" t="n">
        <f aca="false">YEAR(A418)</f>
        <v>2026</v>
      </c>
      <c r="C418" s="4" t="n">
        <f aca="false">MONTH(A418)</f>
        <v>11</v>
      </c>
      <c r="D418" s="4" t="s">
        <v>48</v>
      </c>
      <c r="E418" s="4" t="s">
        <v>44</v>
      </c>
      <c r="F418" s="7"/>
      <c r="G418" s="7" t="n">
        <v>355440</v>
      </c>
      <c r="H418" s="8" t="str">
        <f aca="false">IF(F418="","",IF(E418="Revenue",F418-G418,G418-F418))</f>
        <v/>
      </c>
      <c r="I418" s="9" t="str">
        <f aca="false">IF(OR(F418="",G418=0),"",H418/G418)</f>
        <v/>
      </c>
    </row>
    <row r="419" customFormat="false" ht="15" hidden="false" customHeight="false" outlineLevel="0" collapsed="false">
      <c r="A419" s="6" t="n">
        <v>46327</v>
      </c>
      <c r="B419" s="4" t="n">
        <f aca="false">YEAR(A419)</f>
        <v>2026</v>
      </c>
      <c r="C419" s="4" t="n">
        <f aca="false">MONTH(A419)</f>
        <v>11</v>
      </c>
      <c r="D419" s="4" t="s">
        <v>49</v>
      </c>
      <c r="E419" s="4" t="s">
        <v>50</v>
      </c>
      <c r="F419" s="7"/>
      <c r="G419" s="7" t="n">
        <v>442886</v>
      </c>
      <c r="H419" s="8" t="str">
        <f aca="false">IF(F419="","",IF(E419="Revenue",F419-G419,G419-F419))</f>
        <v/>
      </c>
      <c r="I419" s="9" t="str">
        <f aca="false">IF(OR(F419="",G419=0),"",H419/G419)</f>
        <v/>
      </c>
    </row>
    <row r="420" customFormat="false" ht="15" hidden="false" customHeight="false" outlineLevel="0" collapsed="false">
      <c r="A420" s="6" t="n">
        <v>46327</v>
      </c>
      <c r="B420" s="4" t="n">
        <f aca="false">YEAR(A420)</f>
        <v>2026</v>
      </c>
      <c r="C420" s="4" t="n">
        <f aca="false">MONTH(A420)</f>
        <v>11</v>
      </c>
      <c r="D420" s="4" t="s">
        <v>51</v>
      </c>
      <c r="E420" s="4" t="s">
        <v>52</v>
      </c>
      <c r="F420" s="7"/>
      <c r="G420" s="7" t="n">
        <v>250000</v>
      </c>
      <c r="H420" s="8" t="str">
        <f aca="false">IF(F420="","",IF(E420="Revenue",F420-G420,G420-F420))</f>
        <v/>
      </c>
      <c r="I420" s="9" t="str">
        <f aca="false">IF(OR(F420="",G420=0),"",H420/G420)</f>
        <v/>
      </c>
    </row>
    <row r="421" customFormat="false" ht="15" hidden="false" customHeight="false" outlineLevel="0" collapsed="false">
      <c r="A421" s="6" t="n">
        <v>46327</v>
      </c>
      <c r="B421" s="4" t="n">
        <f aca="false">YEAR(A421)</f>
        <v>2026</v>
      </c>
      <c r="C421" s="4" t="n">
        <f aca="false">MONTH(A421)</f>
        <v>11</v>
      </c>
      <c r="D421" s="4" t="s">
        <v>53</v>
      </c>
      <c r="E421" s="4" t="s">
        <v>54</v>
      </c>
      <c r="F421" s="7"/>
      <c r="G421" s="7" t="n">
        <v>1052914</v>
      </c>
      <c r="H421" s="8" t="str">
        <f aca="false">IF(F421="","",IF(E421="Revenue",F421-G421,G421-F421))</f>
        <v/>
      </c>
      <c r="I421" s="9" t="str">
        <f aca="false">IF(OR(F421="",G421=0),"",H421/G421)</f>
        <v/>
      </c>
    </row>
    <row r="422" customFormat="false" ht="15" hidden="false" customHeight="false" outlineLevel="0" collapsed="false">
      <c r="A422" s="6" t="n">
        <v>46357</v>
      </c>
      <c r="B422" s="4" t="n">
        <f aca="false">YEAR(A422)</f>
        <v>2026</v>
      </c>
      <c r="C422" s="4" t="n">
        <f aca="false">MONTH(A422)</f>
        <v>12</v>
      </c>
      <c r="D422" s="4" t="s">
        <v>37</v>
      </c>
      <c r="E422" s="4" t="s">
        <v>38</v>
      </c>
      <c r="F422" s="7"/>
      <c r="G422" s="7" t="n">
        <v>17781787</v>
      </c>
      <c r="H422" s="8" t="str">
        <f aca="false">IF(F422="","",IF(E422="Revenue",F422-G422,G422-F422))</f>
        <v/>
      </c>
      <c r="I422" s="9" t="str">
        <f aca="false">IF(OR(F422="",G422=0),"",H422/G422)</f>
        <v/>
      </c>
    </row>
    <row r="423" customFormat="false" ht="15" hidden="false" customHeight="false" outlineLevel="0" collapsed="false">
      <c r="A423" s="6" t="n">
        <v>46357</v>
      </c>
      <c r="B423" s="4" t="n">
        <f aca="false">YEAR(A423)</f>
        <v>2026</v>
      </c>
      <c r="C423" s="4" t="n">
        <f aca="false">MONTH(A423)</f>
        <v>12</v>
      </c>
      <c r="D423" s="4" t="s">
        <v>39</v>
      </c>
      <c r="E423" s="4" t="s">
        <v>38</v>
      </c>
      <c r="F423" s="7"/>
      <c r="G423" s="7" t="n">
        <v>5927263</v>
      </c>
      <c r="H423" s="8" t="str">
        <f aca="false">IF(F423="","",IF(E423="Revenue",F423-G423,G423-F423))</f>
        <v/>
      </c>
      <c r="I423" s="9" t="str">
        <f aca="false">IF(OR(F423="",G423=0),"",H423/G423)</f>
        <v/>
      </c>
    </row>
    <row r="424" customFormat="false" ht="15" hidden="false" customHeight="false" outlineLevel="0" collapsed="false">
      <c r="A424" s="6" t="n">
        <v>46357</v>
      </c>
      <c r="B424" s="4" t="n">
        <f aca="false">YEAR(A424)</f>
        <v>2026</v>
      </c>
      <c r="C424" s="4" t="n">
        <f aca="false">MONTH(A424)</f>
        <v>12</v>
      </c>
      <c r="D424" s="4" t="s">
        <v>40</v>
      </c>
      <c r="E424" s="4" t="s">
        <v>41</v>
      </c>
      <c r="F424" s="7"/>
      <c r="G424" s="7" t="n">
        <v>9187256</v>
      </c>
      <c r="H424" s="8" t="str">
        <f aca="false">IF(F424="","",IF(E424="Revenue",F424-G424,G424-F424))</f>
        <v/>
      </c>
      <c r="I424" s="9" t="str">
        <f aca="false">IF(OR(F424="",G424=0),"",H424/G424)</f>
        <v/>
      </c>
    </row>
    <row r="425" customFormat="false" ht="15" hidden="false" customHeight="false" outlineLevel="0" collapsed="false">
      <c r="A425" s="6" t="n">
        <v>46357</v>
      </c>
      <c r="B425" s="4" t="n">
        <f aca="false">YEAR(A425)</f>
        <v>2026</v>
      </c>
      <c r="C425" s="4" t="n">
        <f aca="false">MONTH(A425)</f>
        <v>12</v>
      </c>
      <c r="D425" s="4" t="s">
        <v>42</v>
      </c>
      <c r="E425" s="4" t="s">
        <v>41</v>
      </c>
      <c r="F425" s="7"/>
      <c r="G425" s="7" t="n">
        <v>2124904</v>
      </c>
      <c r="H425" s="8" t="str">
        <f aca="false">IF(F425="","",IF(E425="Revenue",F425-G425,G425-F425))</f>
        <v/>
      </c>
      <c r="I425" s="9" t="str">
        <f aca="false">IF(OR(F425="",G425=0),"",H425/G425)</f>
        <v/>
      </c>
    </row>
    <row r="426" customFormat="false" ht="15" hidden="false" customHeight="false" outlineLevel="0" collapsed="false">
      <c r="A426" s="6" t="n">
        <v>46357</v>
      </c>
      <c r="B426" s="4" t="n">
        <f aca="false">YEAR(A426)</f>
        <v>2026</v>
      </c>
      <c r="C426" s="4" t="n">
        <f aca="false">MONTH(A426)</f>
        <v>12</v>
      </c>
      <c r="D426" s="4" t="s">
        <v>43</v>
      </c>
      <c r="E426" s="4" t="s">
        <v>44</v>
      </c>
      <c r="F426" s="7"/>
      <c r="G426" s="7" t="n">
        <v>4315164</v>
      </c>
      <c r="H426" s="8" t="str">
        <f aca="false">IF(F426="","",IF(E426="Revenue",F426-G426,G426-F426))</f>
        <v/>
      </c>
      <c r="I426" s="9" t="str">
        <f aca="false">IF(OR(F426="",G426=0),"",H426/G426)</f>
        <v/>
      </c>
    </row>
    <row r="427" customFormat="false" ht="15" hidden="false" customHeight="false" outlineLevel="0" collapsed="false">
      <c r="A427" s="6" t="n">
        <v>46357</v>
      </c>
      <c r="B427" s="4" t="n">
        <f aca="false">YEAR(A427)</f>
        <v>2026</v>
      </c>
      <c r="C427" s="4" t="n">
        <f aca="false">MONTH(A427)</f>
        <v>12</v>
      </c>
      <c r="D427" s="4" t="s">
        <v>45</v>
      </c>
      <c r="E427" s="4" t="s">
        <v>44</v>
      </c>
      <c r="F427" s="7"/>
      <c r="G427" s="7" t="n">
        <v>1699923</v>
      </c>
      <c r="H427" s="8" t="str">
        <f aca="false">IF(F427="","",IF(E427="Revenue",F427-G427,G427-F427))</f>
        <v/>
      </c>
      <c r="I427" s="9" t="str">
        <f aca="false">IF(OR(F427="",G427=0),"",H427/G427)</f>
        <v/>
      </c>
    </row>
    <row r="428" customFormat="false" ht="15" hidden="false" customHeight="false" outlineLevel="0" collapsed="false">
      <c r="A428" s="6" t="n">
        <v>46357</v>
      </c>
      <c r="B428" s="4" t="n">
        <f aca="false">YEAR(A428)</f>
        <v>2026</v>
      </c>
      <c r="C428" s="4" t="n">
        <f aca="false">MONTH(A428)</f>
        <v>12</v>
      </c>
      <c r="D428" s="4" t="s">
        <v>46</v>
      </c>
      <c r="E428" s="4" t="s">
        <v>44</v>
      </c>
      <c r="F428" s="7"/>
      <c r="G428" s="7" t="n">
        <v>643460</v>
      </c>
      <c r="H428" s="8" t="str">
        <f aca="false">IF(F428="","",IF(E428="Revenue",F428-G428,G428-F428))</f>
        <v/>
      </c>
      <c r="I428" s="9" t="str">
        <f aca="false">IF(OR(F428="",G428=0),"",H428/G428)</f>
        <v/>
      </c>
    </row>
    <row r="429" customFormat="false" ht="15" hidden="false" customHeight="false" outlineLevel="0" collapsed="false">
      <c r="A429" s="6" t="n">
        <v>46357</v>
      </c>
      <c r="B429" s="4" t="n">
        <f aca="false">YEAR(A429)</f>
        <v>2026</v>
      </c>
      <c r="C429" s="4" t="n">
        <f aca="false">MONTH(A429)</f>
        <v>12</v>
      </c>
      <c r="D429" s="4" t="s">
        <v>47</v>
      </c>
      <c r="E429" s="4" t="s">
        <v>44</v>
      </c>
      <c r="F429" s="7"/>
      <c r="G429" s="7" t="n">
        <v>594746</v>
      </c>
      <c r="H429" s="8" t="str">
        <f aca="false">IF(F429="","",IF(E429="Revenue",F429-G429,G429-F429))</f>
        <v/>
      </c>
      <c r="I429" s="9" t="str">
        <f aca="false">IF(OR(F429="",G429=0),"",H429/G429)</f>
        <v/>
      </c>
    </row>
    <row r="430" customFormat="false" ht="15" hidden="false" customHeight="false" outlineLevel="0" collapsed="false">
      <c r="A430" s="6" t="n">
        <v>46357</v>
      </c>
      <c r="B430" s="4" t="n">
        <f aca="false">YEAR(A430)</f>
        <v>2026</v>
      </c>
      <c r="C430" s="4" t="n">
        <f aca="false">MONTH(A430)</f>
        <v>12</v>
      </c>
      <c r="D430" s="4" t="s">
        <v>48</v>
      </c>
      <c r="E430" s="4" t="s">
        <v>44</v>
      </c>
      <c r="F430" s="7"/>
      <c r="G430" s="7" t="n">
        <v>357218</v>
      </c>
      <c r="H430" s="8" t="str">
        <f aca="false">IF(F430="","",IF(E430="Revenue",F430-G430,G430-F430))</f>
        <v/>
      </c>
      <c r="I430" s="9" t="str">
        <f aca="false">IF(OR(F430="",G430=0),"",H430/G430)</f>
        <v/>
      </c>
    </row>
    <row r="431" customFormat="false" ht="15" hidden="false" customHeight="false" outlineLevel="0" collapsed="false">
      <c r="A431" s="6" t="n">
        <v>46357</v>
      </c>
      <c r="B431" s="4" t="n">
        <f aca="false">YEAR(A431)</f>
        <v>2026</v>
      </c>
      <c r="C431" s="4" t="n">
        <f aca="false">MONTH(A431)</f>
        <v>12</v>
      </c>
      <c r="D431" s="4" t="s">
        <v>49</v>
      </c>
      <c r="E431" s="4" t="s">
        <v>50</v>
      </c>
      <c r="F431" s="7"/>
      <c r="G431" s="7" t="n">
        <v>444214</v>
      </c>
      <c r="H431" s="8" t="str">
        <f aca="false">IF(F431="","",IF(E431="Revenue",F431-G431,G431-F431))</f>
        <v/>
      </c>
      <c r="I431" s="9" t="str">
        <f aca="false">IF(OR(F431="",G431=0),"",H431/G431)</f>
        <v/>
      </c>
    </row>
    <row r="432" customFormat="false" ht="15" hidden="false" customHeight="false" outlineLevel="0" collapsed="false">
      <c r="A432" s="6" t="n">
        <v>46357</v>
      </c>
      <c r="B432" s="4" t="n">
        <f aca="false">YEAR(A432)</f>
        <v>2026</v>
      </c>
      <c r="C432" s="4" t="n">
        <f aca="false">MONTH(A432)</f>
        <v>12</v>
      </c>
      <c r="D432" s="4" t="s">
        <v>51</v>
      </c>
      <c r="E432" s="4" t="s">
        <v>52</v>
      </c>
      <c r="F432" s="7"/>
      <c r="G432" s="7" t="n">
        <v>250000</v>
      </c>
      <c r="H432" s="8" t="str">
        <f aca="false">IF(F432="","",IF(E432="Revenue",F432-G432,G432-F432))</f>
        <v/>
      </c>
      <c r="I432" s="9" t="str">
        <f aca="false">IF(OR(F432="",G432=0),"",H432/G432)</f>
        <v/>
      </c>
    </row>
    <row r="433" customFormat="false" ht="15" hidden="false" customHeight="false" outlineLevel="0" collapsed="false">
      <c r="A433" s="6" t="n">
        <v>46357</v>
      </c>
      <c r="B433" s="4" t="n">
        <f aca="false">YEAR(A433)</f>
        <v>2026</v>
      </c>
      <c r="C433" s="4" t="n">
        <f aca="false">MONTH(A433)</f>
        <v>12</v>
      </c>
      <c r="D433" s="4" t="s">
        <v>53</v>
      </c>
      <c r="E433" s="4" t="s">
        <v>54</v>
      </c>
      <c r="F433" s="7"/>
      <c r="G433" s="7" t="n">
        <v>1023042</v>
      </c>
      <c r="H433" s="8" t="str">
        <f aca="false">IF(F433="","",IF(E433="Revenue",F433-G433,G433-F433))</f>
        <v/>
      </c>
      <c r="I433" s="9" t="str">
        <f aca="false">IF(OR(F433="",G433=0),"",H433/G433)</f>
        <v/>
      </c>
    </row>
  </sheetData>
  <autoFilter ref="A1:I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8" min="2" style="0" width="1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0" hidden="false" customHeight="true" outlineLevel="0" collapsed="false">
      <c r="A4" s="5" t="s">
        <v>28</v>
      </c>
      <c r="B4" s="5" t="s">
        <v>38</v>
      </c>
      <c r="C4" s="5" t="s">
        <v>41</v>
      </c>
      <c r="D4" s="5" t="s">
        <v>57</v>
      </c>
      <c r="E4" s="5" t="s">
        <v>58</v>
      </c>
      <c r="F4" s="5" t="s">
        <v>44</v>
      </c>
      <c r="G4" s="5" t="s">
        <v>59</v>
      </c>
      <c r="H4" s="5" t="s">
        <v>60</v>
      </c>
      <c r="I4" s="5" t="s">
        <v>50</v>
      </c>
      <c r="J4" s="5" t="s">
        <v>61</v>
      </c>
      <c r="K4" s="5" t="s">
        <v>52</v>
      </c>
      <c r="L4" s="5" t="s">
        <v>54</v>
      </c>
      <c r="M4" s="5" t="s">
        <v>62</v>
      </c>
      <c r="N4" s="5" t="s">
        <v>63</v>
      </c>
      <c r="O4" s="5" t="s">
        <v>64</v>
      </c>
      <c r="P4" s="5" t="s">
        <v>65</v>
      </c>
      <c r="Q4" s="5" t="s">
        <v>66</v>
      </c>
      <c r="R4" s="5" t="s">
        <v>67</v>
      </c>
    </row>
    <row r="5" customFormat="false" ht="15" hidden="false" customHeight="false" outlineLevel="0" collapsed="false">
      <c r="A5" s="6" t="n">
        <v>45292</v>
      </c>
      <c r="B5" s="8" t="n">
        <f aca="false">SUMIFS(Monthly_Data!$F$2:$F$433,Monthly_Data!$A$2:$A$433,$A5,Monthly_Data!$E$2:$E$433,"Revenue")</f>
        <v>14369993</v>
      </c>
      <c r="C5" s="8" t="n">
        <f aca="false">SUMIFS(Monthly_Data!$F$2:$F$433,Monthly_Data!$A$2:$A$433,$A5,Monthly_Data!$E$2:$E$433,"COGS")</f>
        <v>7225834</v>
      </c>
      <c r="D5" s="8" t="n">
        <f aca="false">B5-C5</f>
        <v>7144159</v>
      </c>
      <c r="E5" s="9" t="n">
        <f aca="false">IF(B5=0,0,D5/B5)</f>
        <v>0.497158140578078</v>
      </c>
      <c r="F5" s="8" t="n">
        <f aca="false">SUMIFS(Monthly_Data!$F$2:$F$433,Monthly_Data!$A$2:$A$433,$A5,Monthly_Data!$E$2:$E$433,"Operating Expenses")</f>
        <v>6133781</v>
      </c>
      <c r="G5" s="8" t="n">
        <f aca="false">D5-F5</f>
        <v>1010378</v>
      </c>
      <c r="H5" s="9" t="n">
        <f aca="false">IF(B5=0,0,G5/B5)</f>
        <v>0.0703116556841747</v>
      </c>
      <c r="I5" s="8" t="n">
        <f aca="false">SUMIFS(Monthly_Data!$F$2:$F$433,Monthly_Data!$A$2:$A$433,$A5,Monthly_Data!$E$2:$E$433,"D&amp;A")</f>
        <v>400000</v>
      </c>
      <c r="J5" s="8" t="n">
        <f aca="false">G5-I5</f>
        <v>610378</v>
      </c>
      <c r="K5" s="8" t="n">
        <f aca="false">SUMIFS(Monthly_Data!$F$2:$F$433,Monthly_Data!$A$2:$A$433,$A5,Monthly_Data!$E$2:$E$433,"Interest")</f>
        <v>257500</v>
      </c>
      <c r="L5" s="8" t="n">
        <f aca="false">SUMIFS(Monthly_Data!$F$2:$F$433,Monthly_Data!$A$2:$A$433,$A5,Monthly_Data!$E$2:$E$433,"Tax")</f>
        <v>94587</v>
      </c>
      <c r="M5" s="8" t="n">
        <f aca="false">J5-K5-L5</f>
        <v>258291</v>
      </c>
      <c r="N5" s="9" t="n">
        <f aca="false">IF(B5=0,0,M5/B5)</f>
        <v>0.0179743302588944</v>
      </c>
      <c r="O5" s="8" t="n">
        <f aca="false">SUMIFS(Monthly_Data!$G$2:$G$433,Monthly_Data!$A$2:$A$433,$A5,Monthly_Data!$E$2:$E$433,"Revenue")</f>
        <v>14337231</v>
      </c>
      <c r="P5" s="8" t="n">
        <f aca="false">SUMIFS(Monthly_Data!$G$2:$G$433,Monthly_Data!$A$2:$A$433,$A5,Monthly_Data!$E$2:$E$433,"Revenue")-SUMIFS(Monthly_Data!$G$2:$G$433,Monthly_Data!$A$2:$A$433,$A5,Monthly_Data!$E$2:$E$433,"&lt;&gt;Revenue")</f>
        <v>436165</v>
      </c>
      <c r="Q5" s="9" t="n">
        <f aca="false">IF(O5=0,0,(B5-O5)/O5)</f>
        <v>0.00228509954258253</v>
      </c>
      <c r="R5" s="9" t="n">
        <f aca="false">IF(P5=0,0,(M5-P5)/ABS(P5))</f>
        <v>-0.407813556796167</v>
      </c>
    </row>
    <row r="6" customFormat="false" ht="15" hidden="false" customHeight="false" outlineLevel="0" collapsed="false">
      <c r="A6" s="6" t="n">
        <v>45323</v>
      </c>
      <c r="B6" s="8" t="n">
        <f aca="false">SUMIFS(Monthly_Data!$F$2:$F$433,Monthly_Data!$A$2:$A$433,$A6,Monthly_Data!$E$2:$E$433,"Revenue")</f>
        <v>15095460</v>
      </c>
      <c r="C6" s="8" t="n">
        <f aca="false">SUMIFS(Monthly_Data!$F$2:$F$433,Monthly_Data!$A$2:$A$433,$A6,Monthly_Data!$E$2:$E$433,"COGS")</f>
        <v>7486463</v>
      </c>
      <c r="D6" s="8" t="n">
        <f aca="false">B6-C6</f>
        <v>7608997</v>
      </c>
      <c r="E6" s="9" t="n">
        <f aca="false">IF(B6=0,0,D6/B6)</f>
        <v>0.504058637497632</v>
      </c>
      <c r="F6" s="8" t="n">
        <f aca="false">SUMIFS(Monthly_Data!$F$2:$F$433,Monthly_Data!$A$2:$A$433,$A6,Monthly_Data!$E$2:$E$433,"Operating Expenses")</f>
        <v>6174144</v>
      </c>
      <c r="G6" s="8" t="n">
        <f aca="false">D6-F6</f>
        <v>1434853</v>
      </c>
      <c r="H6" s="9" t="n">
        <f aca="false">IF(B6=0,0,G6/B6)</f>
        <v>0.0950519560185645</v>
      </c>
      <c r="I6" s="8" t="n">
        <f aca="false">SUMIFS(Monthly_Data!$F$2:$F$433,Monthly_Data!$A$2:$A$433,$A6,Monthly_Data!$E$2:$E$433,"D&amp;A")</f>
        <v>401200</v>
      </c>
      <c r="J6" s="8" t="n">
        <f aca="false">G6-I6</f>
        <v>1033653</v>
      </c>
      <c r="K6" s="8" t="n">
        <f aca="false">SUMIFS(Monthly_Data!$F$2:$F$433,Monthly_Data!$A$2:$A$433,$A6,Monthly_Data!$E$2:$E$433,"Interest")</f>
        <v>257876</v>
      </c>
      <c r="L6" s="8" t="n">
        <f aca="false">SUMIFS(Monthly_Data!$F$2:$F$433,Monthly_Data!$A$2:$A$433,$A6,Monthly_Data!$E$2:$E$433,"Tax")</f>
        <v>193944</v>
      </c>
      <c r="M6" s="8" t="n">
        <f aca="false">J6-K6-L6</f>
        <v>581833</v>
      </c>
      <c r="N6" s="9" t="n">
        <f aca="false">IF(B6=0,0,M6/B6)</f>
        <v>0.0385435753531194</v>
      </c>
      <c r="O6" s="8" t="n">
        <f aca="false">SUMIFS(Monthly_Data!$G$2:$G$433,Monthly_Data!$A$2:$A$433,$A6,Monthly_Data!$E$2:$E$433,"Revenue")</f>
        <v>15265600</v>
      </c>
      <c r="P6" s="8" t="n">
        <f aca="false">SUMIFS(Monthly_Data!$G$2:$G$433,Monthly_Data!$A$2:$A$433,$A6,Monthly_Data!$E$2:$E$433,"Revenue")-SUMIFS(Monthly_Data!$G$2:$G$433,Monthly_Data!$A$2:$A$433,$A6,Monthly_Data!$E$2:$E$433,"&lt;&gt;Revenue")</f>
        <v>821009</v>
      </c>
      <c r="Q6" s="9" t="n">
        <f aca="false">IF(O6=0,0,(B6-O6)/O6)</f>
        <v>-0.0111453201970443</v>
      </c>
      <c r="R6" s="9" t="n">
        <f aca="false">IF(P6=0,0,(M6-P6)/ABS(P6))</f>
        <v>-0.291319583585564</v>
      </c>
    </row>
    <row r="7" customFormat="false" ht="15" hidden="false" customHeight="false" outlineLevel="0" collapsed="false">
      <c r="A7" s="6" t="n">
        <v>45352</v>
      </c>
      <c r="B7" s="8" t="n">
        <f aca="false">SUMIFS(Monthly_Data!$F$2:$F$433,Monthly_Data!$A$2:$A$433,$A7,Monthly_Data!$E$2:$E$433,"Revenue")</f>
        <v>16236794</v>
      </c>
      <c r="C7" s="8" t="n">
        <f aca="false">SUMIFS(Monthly_Data!$F$2:$F$433,Monthly_Data!$A$2:$A$433,$A7,Monthly_Data!$E$2:$E$433,"COGS")</f>
        <v>7925285</v>
      </c>
      <c r="D7" s="8" t="n">
        <f aca="false">B7-C7</f>
        <v>8311509</v>
      </c>
      <c r="E7" s="9" t="n">
        <f aca="false">IF(B7=0,0,D7/B7)</f>
        <v>0.511893480942112</v>
      </c>
      <c r="F7" s="8" t="n">
        <f aca="false">SUMIFS(Monthly_Data!$F$2:$F$433,Monthly_Data!$A$2:$A$433,$A7,Monthly_Data!$E$2:$E$433,"Operating Expenses")</f>
        <v>6223599</v>
      </c>
      <c r="G7" s="8" t="n">
        <f aca="false">D7-F7</f>
        <v>2087910</v>
      </c>
      <c r="H7" s="9" t="n">
        <f aca="false">IF(B7=0,0,G7/B7)</f>
        <v>0.12859127239035</v>
      </c>
      <c r="I7" s="8" t="n">
        <f aca="false">SUMIFS(Monthly_Data!$F$2:$F$433,Monthly_Data!$A$2:$A$433,$A7,Monthly_Data!$E$2:$E$433,"D&amp;A")</f>
        <v>402404</v>
      </c>
      <c r="J7" s="8" t="n">
        <f aca="false">G7-I7</f>
        <v>1685506</v>
      </c>
      <c r="K7" s="8" t="n">
        <f aca="false">SUMIFS(Monthly_Data!$F$2:$F$433,Monthly_Data!$A$2:$A$433,$A7,Monthly_Data!$E$2:$E$433,"Interest")</f>
        <v>258251</v>
      </c>
      <c r="L7" s="8" t="n">
        <f aca="false">SUMIFS(Monthly_Data!$F$2:$F$433,Monthly_Data!$A$2:$A$433,$A7,Monthly_Data!$E$2:$E$433,"Tax")</f>
        <v>356813</v>
      </c>
      <c r="M7" s="8" t="n">
        <f aca="false">J7-K7-L7</f>
        <v>1070442</v>
      </c>
      <c r="N7" s="9" t="n">
        <f aca="false">IF(B7=0,0,M7/B7)</f>
        <v>0.065926931141702</v>
      </c>
      <c r="O7" s="8" t="n">
        <f aca="false">SUMIFS(Monthly_Data!$G$2:$G$433,Monthly_Data!$A$2:$A$433,$A7,Monthly_Data!$E$2:$E$433,"Revenue")</f>
        <v>16483600</v>
      </c>
      <c r="P7" s="8" t="n">
        <f aca="false">SUMIFS(Monthly_Data!$G$2:$G$433,Monthly_Data!$A$2:$A$433,$A7,Monthly_Data!$E$2:$E$433,"Revenue")-SUMIFS(Monthly_Data!$G$2:$G$433,Monthly_Data!$A$2:$A$433,$A7,Monthly_Data!$E$2:$E$433,"&lt;&gt;Revenue")</f>
        <v>1338572</v>
      </c>
      <c r="Q7" s="9" t="n">
        <f aca="false">IF(O7=0,0,(B7-O7)/O7)</f>
        <v>-0.0149728214710379</v>
      </c>
      <c r="R7" s="9" t="n">
        <f aca="false">IF(P7=0,0,(M7-P7)/ABS(P7))</f>
        <v>-0.200310480123594</v>
      </c>
    </row>
    <row r="8" customFormat="false" ht="15" hidden="false" customHeight="false" outlineLevel="0" collapsed="false">
      <c r="A8" s="6" t="n">
        <v>45383</v>
      </c>
      <c r="B8" s="8" t="n">
        <f aca="false">SUMIFS(Monthly_Data!$F$2:$F$433,Monthly_Data!$A$2:$A$433,$A8,Monthly_Data!$E$2:$E$433,"Revenue")</f>
        <v>17196464</v>
      </c>
      <c r="C8" s="8" t="n">
        <f aca="false">SUMIFS(Monthly_Data!$F$2:$F$433,Monthly_Data!$A$2:$A$433,$A8,Monthly_Data!$E$2:$E$433,"COGS")</f>
        <v>8284402</v>
      </c>
      <c r="D8" s="8" t="n">
        <f aca="false">B8-C8</f>
        <v>8912062</v>
      </c>
      <c r="E8" s="9" t="n">
        <f aca="false">IF(B8=0,0,D8/B8)</f>
        <v>0.518249682027654</v>
      </c>
      <c r="F8" s="8" t="n">
        <f aca="false">SUMIFS(Monthly_Data!$F$2:$F$433,Monthly_Data!$A$2:$A$433,$A8,Monthly_Data!$E$2:$E$433,"Operating Expenses")</f>
        <v>6269420</v>
      </c>
      <c r="G8" s="8" t="n">
        <f aca="false">D8-F8</f>
        <v>2642642</v>
      </c>
      <c r="H8" s="9" t="n">
        <f aca="false">IF(B8=0,0,G8/B8)</f>
        <v>0.153673569170964</v>
      </c>
      <c r="I8" s="8" t="n">
        <f aca="false">SUMIFS(Monthly_Data!$F$2:$F$433,Monthly_Data!$A$2:$A$433,$A8,Monthly_Data!$E$2:$E$433,"D&amp;A")</f>
        <v>403611</v>
      </c>
      <c r="J8" s="8" t="n">
        <f aca="false">G8-I8</f>
        <v>2239031</v>
      </c>
      <c r="K8" s="8" t="n">
        <f aca="false">SUMIFS(Monthly_Data!$F$2:$F$433,Monthly_Data!$A$2:$A$433,$A8,Monthly_Data!$E$2:$E$433,"Interest")</f>
        <v>258626</v>
      </c>
      <c r="L8" s="8" t="n">
        <f aca="false">SUMIFS(Monthly_Data!$F$2:$F$433,Monthly_Data!$A$2:$A$433,$A8,Monthly_Data!$E$2:$E$433,"Tax")</f>
        <v>495101</v>
      </c>
      <c r="M8" s="8" t="n">
        <f aca="false">J8-K8-L8</f>
        <v>1485304</v>
      </c>
      <c r="N8" s="9" t="n">
        <f aca="false">IF(B8=0,0,M8/B8)</f>
        <v>0.086372640328849</v>
      </c>
      <c r="O8" s="8" t="n">
        <f aca="false">SUMIFS(Monthly_Data!$G$2:$G$433,Monthly_Data!$A$2:$A$433,$A8,Monthly_Data!$E$2:$E$433,"Revenue")</f>
        <v>17734705</v>
      </c>
      <c r="P8" s="8" t="n">
        <f aca="false">SUMIFS(Monthly_Data!$G$2:$G$433,Monthly_Data!$A$2:$A$433,$A8,Monthly_Data!$E$2:$E$433,"Revenue")-SUMIFS(Monthly_Data!$G$2:$G$433,Monthly_Data!$A$2:$A$433,$A8,Monthly_Data!$E$2:$E$433,"&lt;&gt;Revenue")</f>
        <v>1871015</v>
      </c>
      <c r="Q8" s="9" t="n">
        <f aca="false">IF(O8=0,0,(B8-O8)/O8)</f>
        <v>-0.03034958856096</v>
      </c>
      <c r="R8" s="9" t="n">
        <f aca="false">IF(P8=0,0,(M8-P8)/ABS(P8))</f>
        <v>-0.20615067222871</v>
      </c>
    </row>
    <row r="9" customFormat="false" ht="15" hidden="false" customHeight="false" outlineLevel="0" collapsed="false">
      <c r="A9" s="6" t="n">
        <v>45413</v>
      </c>
      <c r="B9" s="8" t="n">
        <f aca="false">SUMIFS(Monthly_Data!$F$2:$F$433,Monthly_Data!$A$2:$A$433,$A9,Monthly_Data!$E$2:$E$433,"Revenue")</f>
        <v>18187428</v>
      </c>
      <c r="C9" s="8" t="n">
        <f aca="false">SUMIFS(Monthly_Data!$F$2:$F$433,Monthly_Data!$A$2:$A$433,$A9,Monthly_Data!$E$2:$E$433,"COGS")</f>
        <v>8742543</v>
      </c>
      <c r="D9" s="8" t="n">
        <f aca="false">B9-C9</f>
        <v>9444885</v>
      </c>
      <c r="E9" s="9" t="n">
        <f aca="false">IF(B9=0,0,D9/B9)</f>
        <v>0.519308447571586</v>
      </c>
      <c r="F9" s="8" t="n">
        <f aca="false">SUMIFS(Monthly_Data!$F$2:$F$433,Monthly_Data!$A$2:$A$433,$A9,Monthly_Data!$E$2:$E$433,"Operating Expenses")</f>
        <v>6322846</v>
      </c>
      <c r="G9" s="8" t="n">
        <f aca="false">D9-F9</f>
        <v>3122039</v>
      </c>
      <c r="H9" s="9" t="n">
        <f aca="false">IF(B9=0,0,G9/B9)</f>
        <v>0.171659181276209</v>
      </c>
      <c r="I9" s="8" t="n">
        <f aca="false">SUMIFS(Monthly_Data!$F$2:$F$433,Monthly_Data!$A$2:$A$433,$A9,Monthly_Data!$E$2:$E$433,"D&amp;A")</f>
        <v>404820</v>
      </c>
      <c r="J9" s="8" t="n">
        <f aca="false">G9-I9</f>
        <v>2717219</v>
      </c>
      <c r="K9" s="8" t="n">
        <f aca="false">SUMIFS(Monthly_Data!$F$2:$F$433,Monthly_Data!$A$2:$A$433,$A9,Monthly_Data!$E$2:$E$433,"Interest")</f>
        <v>259000</v>
      </c>
      <c r="L9" s="8" t="n">
        <f aca="false">SUMIFS(Monthly_Data!$F$2:$F$433,Monthly_Data!$A$2:$A$433,$A9,Monthly_Data!$E$2:$E$433,"Tax")</f>
        <v>614556</v>
      </c>
      <c r="M9" s="8" t="n">
        <f aca="false">J9-K9-L9</f>
        <v>1843663</v>
      </c>
      <c r="N9" s="9" t="n">
        <f aca="false">IF(B9=0,0,M9/B9)</f>
        <v>0.10137018824212</v>
      </c>
      <c r="O9" s="8" t="n">
        <f aca="false">SUMIFS(Monthly_Data!$G$2:$G$433,Monthly_Data!$A$2:$A$433,$A9,Monthly_Data!$E$2:$E$433,"Revenue")</f>
        <v>18746618</v>
      </c>
      <c r="P9" s="8" t="n">
        <f aca="false">SUMIFS(Monthly_Data!$G$2:$G$433,Monthly_Data!$A$2:$A$433,$A9,Monthly_Data!$E$2:$E$433,"Revenue")-SUMIFS(Monthly_Data!$G$2:$G$433,Monthly_Data!$A$2:$A$433,$A9,Monthly_Data!$E$2:$E$433,"&lt;&gt;Revenue")</f>
        <v>2293244</v>
      </c>
      <c r="Q9" s="9" t="n">
        <f aca="false">IF(O9=0,0,(B9-O9)/O9)</f>
        <v>-0.0298288469952287</v>
      </c>
      <c r="R9" s="9" t="n">
        <f aca="false">IF(P9=0,0,(M9-P9)/ABS(P9))</f>
        <v>-0.196045863414447</v>
      </c>
    </row>
    <row r="10" customFormat="false" ht="15" hidden="false" customHeight="false" outlineLevel="0" collapsed="false">
      <c r="A10" s="6" t="n">
        <v>45444</v>
      </c>
      <c r="B10" s="8" t="n">
        <f aca="false">SUMIFS(Monthly_Data!$F$2:$F$433,Monthly_Data!$A$2:$A$433,$A10,Monthly_Data!$E$2:$E$433,"Revenue")</f>
        <v>18794290</v>
      </c>
      <c r="C10" s="8" t="n">
        <f aca="false">SUMIFS(Monthly_Data!$F$2:$F$433,Monthly_Data!$A$2:$A$433,$A10,Monthly_Data!$E$2:$E$433,"COGS")</f>
        <v>8993821</v>
      </c>
      <c r="D10" s="8" t="n">
        <f aca="false">B10-C10</f>
        <v>9800469</v>
      </c>
      <c r="E10" s="9" t="n">
        <f aca="false">IF(B10=0,0,D10/B10)</f>
        <v>0.521459922135925</v>
      </c>
      <c r="F10" s="8" t="n">
        <f aca="false">SUMIFS(Monthly_Data!$F$2:$F$433,Monthly_Data!$A$2:$A$433,$A10,Monthly_Data!$E$2:$E$433,"Operating Expenses")</f>
        <v>6372793</v>
      </c>
      <c r="G10" s="8" t="n">
        <f aca="false">D10-F10</f>
        <v>3427676</v>
      </c>
      <c r="H10" s="9" t="n">
        <f aca="false">IF(B10=0,0,G10/B10)</f>
        <v>0.182378584133798</v>
      </c>
      <c r="I10" s="8" t="n">
        <f aca="false">SUMIFS(Monthly_Data!$F$2:$F$433,Monthly_Data!$A$2:$A$433,$A10,Monthly_Data!$E$2:$E$433,"D&amp;A")</f>
        <v>406036</v>
      </c>
      <c r="J10" s="8" t="n">
        <f aca="false">G10-I10</f>
        <v>3021640</v>
      </c>
      <c r="K10" s="8" t="n">
        <f aca="false">SUMIFS(Monthly_Data!$F$2:$F$433,Monthly_Data!$A$2:$A$433,$A10,Monthly_Data!$E$2:$E$433,"Interest")</f>
        <v>259376</v>
      </c>
      <c r="L10" s="8" t="n">
        <f aca="false">SUMIFS(Monthly_Data!$F$2:$F$433,Monthly_Data!$A$2:$A$433,$A10,Monthly_Data!$E$2:$E$433,"Tax")</f>
        <v>690566</v>
      </c>
      <c r="M10" s="8" t="n">
        <f aca="false">J10-K10-L10</f>
        <v>2071698</v>
      </c>
      <c r="N10" s="9" t="n">
        <f aca="false">IF(B10=0,0,M10/B10)</f>
        <v>0.110230181613671</v>
      </c>
      <c r="O10" s="8" t="n">
        <f aca="false">SUMIFS(Monthly_Data!$G$2:$G$433,Monthly_Data!$A$2:$A$433,$A10,Monthly_Data!$E$2:$E$433,"Revenue")</f>
        <v>19304930</v>
      </c>
      <c r="P10" s="8" t="n">
        <f aca="false">SUMIFS(Monthly_Data!$G$2:$G$433,Monthly_Data!$A$2:$A$433,$A10,Monthly_Data!$E$2:$E$433,"Revenue")-SUMIFS(Monthly_Data!$G$2:$G$433,Monthly_Data!$A$2:$A$433,$A10,Monthly_Data!$E$2:$E$433,"&lt;&gt;Revenue")</f>
        <v>2506760</v>
      </c>
      <c r="Q10" s="9" t="n">
        <f aca="false">IF(O10=0,0,(B10-O10)/O10)</f>
        <v>-0.0264512743635952</v>
      </c>
      <c r="R10" s="9" t="n">
        <f aca="false">IF(P10=0,0,(M10-P10)/ABS(P10))</f>
        <v>-0.173555505912014</v>
      </c>
    </row>
    <row r="11" customFormat="false" ht="15" hidden="false" customHeight="false" outlineLevel="0" collapsed="false">
      <c r="A11" s="6" t="n">
        <v>45474</v>
      </c>
      <c r="B11" s="8" t="n">
        <f aca="false">SUMIFS(Monthly_Data!$F$2:$F$433,Monthly_Data!$A$2:$A$433,$A11,Monthly_Data!$E$2:$E$433,"Revenue")</f>
        <v>18793061</v>
      </c>
      <c r="C11" s="8" t="n">
        <f aca="false">SUMIFS(Monthly_Data!$F$2:$F$433,Monthly_Data!$A$2:$A$433,$A11,Monthly_Data!$E$2:$E$433,"COGS")</f>
        <v>9063581</v>
      </c>
      <c r="D11" s="8" t="n">
        <f aca="false">B11-C11</f>
        <v>9729480</v>
      </c>
      <c r="E11" s="9" t="n">
        <f aca="false">IF(B11=0,0,D11/B11)</f>
        <v>0.517716618915886</v>
      </c>
      <c r="F11" s="8" t="n">
        <f aca="false">SUMIFS(Monthly_Data!$F$2:$F$433,Monthly_Data!$A$2:$A$433,$A11,Monthly_Data!$E$2:$E$433,"Operating Expenses")</f>
        <v>6421298</v>
      </c>
      <c r="G11" s="8" t="n">
        <f aca="false">D11-F11</f>
        <v>3308182</v>
      </c>
      <c r="H11" s="9" t="n">
        <f aca="false">IF(B11=0,0,G11/B11)</f>
        <v>0.176032100358744</v>
      </c>
      <c r="I11" s="8" t="n">
        <f aca="false">SUMIFS(Monthly_Data!$F$2:$F$433,Monthly_Data!$A$2:$A$433,$A11,Monthly_Data!$E$2:$E$433,"D&amp;A")</f>
        <v>407254</v>
      </c>
      <c r="J11" s="8" t="n">
        <f aca="false">G11-I11</f>
        <v>2900928</v>
      </c>
      <c r="K11" s="8" t="n">
        <f aca="false">SUMIFS(Monthly_Data!$F$2:$F$433,Monthly_Data!$A$2:$A$433,$A11,Monthly_Data!$E$2:$E$433,"Interest")</f>
        <v>259751</v>
      </c>
      <c r="L11" s="8" t="n">
        <f aca="false">SUMIFS(Monthly_Data!$F$2:$F$433,Monthly_Data!$A$2:$A$433,$A11,Monthly_Data!$E$2:$E$433,"Tax")</f>
        <v>660294</v>
      </c>
      <c r="M11" s="8" t="n">
        <f aca="false">J11-K11-L11</f>
        <v>1980883</v>
      </c>
      <c r="N11" s="9" t="n">
        <f aca="false">IF(B11=0,0,M11/B11)</f>
        <v>0.105405021566205</v>
      </c>
      <c r="O11" s="8" t="n">
        <f aca="false">SUMIFS(Monthly_Data!$G$2:$G$433,Monthly_Data!$A$2:$A$433,$A11,Monthly_Data!$E$2:$E$433,"Revenue")</f>
        <v>19313236</v>
      </c>
      <c r="P11" s="8" t="n">
        <f aca="false">SUMIFS(Monthly_Data!$G$2:$G$433,Monthly_Data!$A$2:$A$433,$A11,Monthly_Data!$E$2:$E$433,"Revenue")-SUMIFS(Monthly_Data!$G$2:$G$433,Monthly_Data!$A$2:$A$433,$A11,Monthly_Data!$E$2:$E$433,"&lt;&gt;Revenue")</f>
        <v>2467280</v>
      </c>
      <c r="Q11" s="9" t="n">
        <f aca="false">IF(O11=0,0,(B11-O11)/O11)</f>
        <v>-0.0269336013912946</v>
      </c>
      <c r="R11" s="9" t="n">
        <f aca="false">IF(P11=0,0,(M11-P11)/ABS(P11))</f>
        <v>-0.197138954638306</v>
      </c>
    </row>
    <row r="12" customFormat="false" ht="15" hidden="false" customHeight="false" outlineLevel="0" collapsed="false">
      <c r="A12" s="6" t="n">
        <v>45505</v>
      </c>
      <c r="B12" s="8" t="n">
        <f aca="false">SUMIFS(Monthly_Data!$F$2:$F$433,Monthly_Data!$A$2:$A$433,$A12,Monthly_Data!$E$2:$E$433,"Revenue")</f>
        <v>18345813</v>
      </c>
      <c r="C12" s="8" t="n">
        <f aca="false">SUMIFS(Monthly_Data!$F$2:$F$433,Monthly_Data!$A$2:$A$433,$A12,Monthly_Data!$E$2:$E$433,"COGS")</f>
        <v>8835897</v>
      </c>
      <c r="D12" s="8" t="n">
        <f aca="false">B12-C12</f>
        <v>9509916</v>
      </c>
      <c r="E12" s="9" t="n">
        <f aca="false">IF(B12=0,0,D12/B12)</f>
        <v>0.518369831852096</v>
      </c>
      <c r="F12" s="8" t="n">
        <f aca="false">SUMIFS(Monthly_Data!$F$2:$F$433,Monthly_Data!$A$2:$A$433,$A12,Monthly_Data!$E$2:$E$433,"Operating Expenses")</f>
        <v>6472957</v>
      </c>
      <c r="G12" s="8" t="n">
        <f aca="false">D12-F12</f>
        <v>3036959</v>
      </c>
      <c r="H12" s="9" t="n">
        <f aca="false">IF(B12=0,0,G12/B12)</f>
        <v>0.165539624763427</v>
      </c>
      <c r="I12" s="8" t="n">
        <f aca="false">SUMIFS(Monthly_Data!$F$2:$F$433,Monthly_Data!$A$2:$A$433,$A12,Monthly_Data!$E$2:$E$433,"D&amp;A")</f>
        <v>408476</v>
      </c>
      <c r="J12" s="8" t="n">
        <f aca="false">G12-I12</f>
        <v>2628483</v>
      </c>
      <c r="K12" s="8" t="n">
        <f aca="false">SUMIFS(Monthly_Data!$F$2:$F$433,Monthly_Data!$A$2:$A$433,$A12,Monthly_Data!$E$2:$E$433,"Interest")</f>
        <v>260126</v>
      </c>
      <c r="L12" s="8" t="n">
        <f aca="false">SUMIFS(Monthly_Data!$F$2:$F$433,Monthly_Data!$A$2:$A$433,$A12,Monthly_Data!$E$2:$E$433,"Tax")</f>
        <v>592090</v>
      </c>
      <c r="M12" s="8" t="n">
        <f aca="false">J12-K12-L12</f>
        <v>1776267</v>
      </c>
      <c r="N12" s="9" t="n">
        <f aca="false">IF(B12=0,0,M12/B12)</f>
        <v>0.0968213837130031</v>
      </c>
      <c r="O12" s="8" t="n">
        <f aca="false">SUMIFS(Monthly_Data!$G$2:$G$433,Monthly_Data!$A$2:$A$433,$A12,Monthly_Data!$E$2:$E$433,"Revenue")</f>
        <v>18822970</v>
      </c>
      <c r="P12" s="8" t="n">
        <f aca="false">SUMIFS(Monthly_Data!$G$2:$G$433,Monthly_Data!$A$2:$A$433,$A12,Monthly_Data!$E$2:$E$433,"Revenue")-SUMIFS(Monthly_Data!$G$2:$G$433,Monthly_Data!$A$2:$A$433,$A12,Monthly_Data!$E$2:$E$433,"&lt;&gt;Revenue")</f>
        <v>2198424</v>
      </c>
      <c r="Q12" s="9" t="n">
        <f aca="false">IF(O12=0,0,(B12-O12)/O12)</f>
        <v>-0.0253497189869611</v>
      </c>
      <c r="R12" s="9" t="n">
        <f aca="false">IF(P12=0,0,(M12-P12)/ABS(P12))</f>
        <v>-0.192027106690975</v>
      </c>
    </row>
    <row r="13" customFormat="false" ht="15" hidden="false" customHeight="false" outlineLevel="0" collapsed="false">
      <c r="A13" s="6" t="n">
        <v>45536</v>
      </c>
      <c r="B13" s="8" t="n">
        <f aca="false">SUMIFS(Monthly_Data!$F$2:$F$433,Monthly_Data!$A$2:$A$433,$A13,Monthly_Data!$E$2:$E$433,"Revenue")</f>
        <v>17237400</v>
      </c>
      <c r="C13" s="8" t="n">
        <f aca="false">SUMIFS(Monthly_Data!$F$2:$F$433,Monthly_Data!$A$2:$A$433,$A13,Monthly_Data!$E$2:$E$433,"COGS")</f>
        <v>8407287</v>
      </c>
      <c r="D13" s="8" t="n">
        <f aca="false">B13-C13</f>
        <v>8830113</v>
      </c>
      <c r="E13" s="9" t="n">
        <f aca="false">IF(B13=0,0,D13/B13)</f>
        <v>0.512264784712312</v>
      </c>
      <c r="F13" s="8" t="n">
        <f aca="false">SUMIFS(Monthly_Data!$F$2:$F$433,Monthly_Data!$A$2:$A$433,$A13,Monthly_Data!$E$2:$E$433,"Operating Expenses")</f>
        <v>6520790</v>
      </c>
      <c r="G13" s="8" t="n">
        <f aca="false">D13-F13</f>
        <v>2309323</v>
      </c>
      <c r="H13" s="9" t="n">
        <f aca="false">IF(B13=0,0,G13/B13)</f>
        <v>0.133971654657895</v>
      </c>
      <c r="I13" s="8" t="n">
        <f aca="false">SUMIFS(Monthly_Data!$F$2:$F$433,Monthly_Data!$A$2:$A$433,$A13,Monthly_Data!$E$2:$E$433,"D&amp;A")</f>
        <v>409700</v>
      </c>
      <c r="J13" s="8" t="n">
        <f aca="false">G13-I13</f>
        <v>1899623</v>
      </c>
      <c r="K13" s="8" t="n">
        <f aca="false">SUMIFS(Monthly_Data!$F$2:$F$433,Monthly_Data!$A$2:$A$433,$A13,Monthly_Data!$E$2:$E$433,"Interest")</f>
        <v>260500</v>
      </c>
      <c r="L13" s="8" t="n">
        <f aca="false">SUMIFS(Monthly_Data!$F$2:$F$433,Monthly_Data!$A$2:$A$433,$A13,Monthly_Data!$E$2:$E$433,"Tax")</f>
        <v>409781</v>
      </c>
      <c r="M13" s="8" t="n">
        <f aca="false">J13-K13-L13</f>
        <v>1229342</v>
      </c>
      <c r="N13" s="9" t="n">
        <f aca="false">IF(B13=0,0,M13/B13)</f>
        <v>0.0713182962627775</v>
      </c>
      <c r="O13" s="8" t="n">
        <f aca="false">SUMIFS(Monthly_Data!$G$2:$G$433,Monthly_Data!$A$2:$A$433,$A13,Monthly_Data!$E$2:$E$433,"Revenue")</f>
        <v>18023882</v>
      </c>
      <c r="P13" s="8" t="n">
        <f aca="false">SUMIFS(Monthly_Data!$G$2:$G$433,Monthly_Data!$A$2:$A$433,$A13,Monthly_Data!$E$2:$E$433,"Revenue")-SUMIFS(Monthly_Data!$G$2:$G$433,Monthly_Data!$A$2:$A$433,$A13,Monthly_Data!$E$2:$E$433,"&lt;&gt;Revenue")</f>
        <v>1787357</v>
      </c>
      <c r="Q13" s="9" t="n">
        <f aca="false">IF(O13=0,0,(B13-O13)/O13)</f>
        <v>-0.0436355497666929</v>
      </c>
      <c r="R13" s="9" t="n">
        <f aca="false">IF(P13=0,0,(M13-P13)/ABS(P13))</f>
        <v>-0.312201199872214</v>
      </c>
    </row>
    <row r="14" customFormat="false" ht="15" hidden="false" customHeight="false" outlineLevel="0" collapsed="false">
      <c r="A14" s="6" t="n">
        <v>45566</v>
      </c>
      <c r="B14" s="8" t="n">
        <f aca="false">SUMIFS(Monthly_Data!$F$2:$F$433,Monthly_Data!$A$2:$A$433,$A14,Monthly_Data!$E$2:$E$433,"Revenue")</f>
        <v>16508143</v>
      </c>
      <c r="C14" s="8" t="n">
        <f aca="false">SUMIFS(Monthly_Data!$F$2:$F$433,Monthly_Data!$A$2:$A$433,$A14,Monthly_Data!$E$2:$E$433,"COGS")</f>
        <v>8167866</v>
      </c>
      <c r="D14" s="8" t="n">
        <f aca="false">B14-C14</f>
        <v>8340277</v>
      </c>
      <c r="E14" s="9" t="n">
        <f aca="false">IF(B14=0,0,D14/B14)</f>
        <v>0.505221998622135</v>
      </c>
      <c r="F14" s="8" t="n">
        <f aca="false">SUMIFS(Monthly_Data!$F$2:$F$433,Monthly_Data!$A$2:$A$433,$A14,Monthly_Data!$E$2:$E$433,"Operating Expenses")</f>
        <v>6576640</v>
      </c>
      <c r="G14" s="8" t="n">
        <f aca="false">D14-F14</f>
        <v>1763637</v>
      </c>
      <c r="H14" s="9" t="n">
        <f aca="false">IF(B14=0,0,G14/B14)</f>
        <v>0.106834366530506</v>
      </c>
      <c r="I14" s="8" t="n">
        <f aca="false">SUMIFS(Monthly_Data!$F$2:$F$433,Monthly_Data!$A$2:$A$433,$A14,Monthly_Data!$E$2:$E$433,"D&amp;A")</f>
        <v>410931</v>
      </c>
      <c r="J14" s="8" t="n">
        <f aca="false">G14-I14</f>
        <v>1352706</v>
      </c>
      <c r="K14" s="8" t="n">
        <f aca="false">SUMIFS(Monthly_Data!$F$2:$F$433,Monthly_Data!$A$2:$A$433,$A14,Monthly_Data!$E$2:$E$433,"Interest")</f>
        <v>260876</v>
      </c>
      <c r="L14" s="8" t="n">
        <f aca="false">SUMIFS(Monthly_Data!$F$2:$F$433,Monthly_Data!$A$2:$A$433,$A14,Monthly_Data!$E$2:$E$433,"Tax")</f>
        <v>272958</v>
      </c>
      <c r="M14" s="8" t="n">
        <f aca="false">J14-K14-L14</f>
        <v>818872</v>
      </c>
      <c r="N14" s="9" t="n">
        <f aca="false">IF(B14=0,0,M14/B14)</f>
        <v>0.0496041256730088</v>
      </c>
      <c r="O14" s="8" t="n">
        <f aca="false">SUMIFS(Monthly_Data!$G$2:$G$433,Monthly_Data!$A$2:$A$433,$A14,Monthly_Data!$E$2:$E$433,"Revenue")</f>
        <v>17196587</v>
      </c>
      <c r="P14" s="8" t="n">
        <f aca="false">SUMIFS(Monthly_Data!$G$2:$G$433,Monthly_Data!$A$2:$A$433,$A14,Monthly_Data!$E$2:$E$433,"Revenue")-SUMIFS(Monthly_Data!$G$2:$G$433,Monthly_Data!$A$2:$A$433,$A14,Monthly_Data!$E$2:$E$433,"&lt;&gt;Revenue")</f>
        <v>1362984</v>
      </c>
      <c r="Q14" s="9" t="n">
        <f aca="false">IF(O14=0,0,(B14-O14)/O14)</f>
        <v>-0.040033757861371</v>
      </c>
      <c r="R14" s="9" t="n">
        <f aca="false">IF(P14=0,0,(M14-P14)/ABS(P14))</f>
        <v>-0.399206447030926</v>
      </c>
    </row>
    <row r="15" customFormat="false" ht="15" hidden="false" customHeight="false" outlineLevel="0" collapsed="false">
      <c r="A15" s="6" t="n">
        <v>45597</v>
      </c>
      <c r="B15" s="8" t="n">
        <f aca="false">SUMIFS(Monthly_Data!$F$2:$F$433,Monthly_Data!$A$2:$A$433,$A15,Monthly_Data!$E$2:$E$433,"Revenue")</f>
        <v>15922623</v>
      </c>
      <c r="C15" s="8" t="n">
        <f aca="false">SUMIFS(Monthly_Data!$F$2:$F$433,Monthly_Data!$A$2:$A$433,$A15,Monthly_Data!$E$2:$E$433,"COGS")</f>
        <v>7992930</v>
      </c>
      <c r="D15" s="8" t="n">
        <f aca="false">B15-C15</f>
        <v>7929693</v>
      </c>
      <c r="E15" s="9" t="n">
        <f aca="false">IF(B15=0,0,D15/B15)</f>
        <v>0.498014240492914</v>
      </c>
      <c r="F15" s="8" t="n">
        <f aca="false">SUMIFS(Monthly_Data!$F$2:$F$433,Monthly_Data!$A$2:$A$433,$A15,Monthly_Data!$E$2:$E$433,"Operating Expenses")</f>
        <v>6628862</v>
      </c>
      <c r="G15" s="8" t="n">
        <f aca="false">D15-F15</f>
        <v>1300831</v>
      </c>
      <c r="H15" s="9" t="n">
        <f aca="false">IF(B15=0,0,G15/B15)</f>
        <v>0.0816970294404383</v>
      </c>
      <c r="I15" s="8" t="n">
        <f aca="false">SUMIFS(Monthly_Data!$F$2:$F$433,Monthly_Data!$A$2:$A$433,$A15,Monthly_Data!$E$2:$E$433,"D&amp;A")</f>
        <v>412163</v>
      </c>
      <c r="J15" s="8" t="n">
        <f aca="false">G15-I15</f>
        <v>888668</v>
      </c>
      <c r="K15" s="8" t="n">
        <f aca="false">SUMIFS(Monthly_Data!$F$2:$F$433,Monthly_Data!$A$2:$A$433,$A15,Monthly_Data!$E$2:$E$433,"Interest")</f>
        <v>261251</v>
      </c>
      <c r="L15" s="8" t="n">
        <f aca="false">SUMIFS(Monthly_Data!$F$2:$F$433,Monthly_Data!$A$2:$A$433,$A15,Monthly_Data!$E$2:$E$433,"Tax")</f>
        <v>156855</v>
      </c>
      <c r="M15" s="8" t="n">
        <f aca="false">J15-K15-L15</f>
        <v>470562</v>
      </c>
      <c r="N15" s="9" t="n">
        <f aca="false">IF(B15=0,0,M15/B15)</f>
        <v>0.0295530453744964</v>
      </c>
      <c r="O15" s="8" t="n">
        <f aca="false">SUMIFS(Monthly_Data!$G$2:$G$433,Monthly_Data!$A$2:$A$433,$A15,Monthly_Data!$E$2:$E$433,"Revenue")</f>
        <v>16638943</v>
      </c>
      <c r="P15" s="8" t="n">
        <f aca="false">SUMIFS(Monthly_Data!$G$2:$G$433,Monthly_Data!$A$2:$A$433,$A15,Monthly_Data!$E$2:$E$433,"Revenue")-SUMIFS(Monthly_Data!$G$2:$G$433,Monthly_Data!$A$2:$A$433,$A15,Monthly_Data!$E$2:$E$433,"&lt;&gt;Revenue")</f>
        <v>1062127</v>
      </c>
      <c r="Q15" s="9" t="n">
        <f aca="false">IF(O15=0,0,(B15-O15)/O15)</f>
        <v>-0.0430508115810001</v>
      </c>
      <c r="R15" s="9" t="n">
        <f aca="false">IF(P15=0,0,(M15-P15)/ABS(P15))</f>
        <v>-0.556962585453529</v>
      </c>
    </row>
    <row r="16" customFormat="false" ht="15" hidden="false" customHeight="false" outlineLevel="0" collapsed="false">
      <c r="A16" s="6" t="n">
        <v>45627</v>
      </c>
      <c r="B16" s="8" t="n">
        <f aca="false">SUMIFS(Monthly_Data!$F$2:$F$433,Monthly_Data!$A$2:$A$433,$A16,Monthly_Data!$E$2:$E$433,"Revenue")</f>
        <v>15967695</v>
      </c>
      <c r="C16" s="8" t="n">
        <f aca="false">SUMIFS(Monthly_Data!$F$2:$F$433,Monthly_Data!$A$2:$A$433,$A16,Monthly_Data!$E$2:$E$433,"COGS")</f>
        <v>8032756</v>
      </c>
      <c r="D16" s="8" t="n">
        <f aca="false">B16-C16</f>
        <v>7934939</v>
      </c>
      <c r="E16" s="9" t="n">
        <f aca="false">IF(B16=0,0,D16/B16)</f>
        <v>0.496937034431081</v>
      </c>
      <c r="F16" s="8" t="n">
        <f aca="false">SUMIFS(Monthly_Data!$F$2:$F$433,Monthly_Data!$A$2:$A$433,$A16,Monthly_Data!$E$2:$E$433,"Operating Expenses")</f>
        <v>6679609</v>
      </c>
      <c r="G16" s="8" t="n">
        <f aca="false">D16-F16</f>
        <v>1255330</v>
      </c>
      <c r="H16" s="9" t="n">
        <f aca="false">IF(B16=0,0,G16/B16)</f>
        <v>0.0786168573485403</v>
      </c>
      <c r="I16" s="8" t="n">
        <f aca="false">SUMIFS(Monthly_Data!$F$2:$F$433,Monthly_Data!$A$2:$A$433,$A16,Monthly_Data!$E$2:$E$433,"D&amp;A")</f>
        <v>413400</v>
      </c>
      <c r="J16" s="8" t="n">
        <f aca="false">G16-I16</f>
        <v>841930</v>
      </c>
      <c r="K16" s="8" t="n">
        <f aca="false">SUMIFS(Monthly_Data!$F$2:$F$433,Monthly_Data!$A$2:$A$433,$A16,Monthly_Data!$E$2:$E$433,"Interest")</f>
        <v>261626</v>
      </c>
      <c r="L16" s="8" t="n">
        <f aca="false">SUMIFS(Monthly_Data!$F$2:$F$433,Monthly_Data!$A$2:$A$433,$A16,Monthly_Data!$E$2:$E$433,"Tax")</f>
        <v>145076</v>
      </c>
      <c r="M16" s="8" t="n">
        <f aca="false">J16-K16-L16</f>
        <v>435228</v>
      </c>
      <c r="N16" s="9" t="n">
        <f aca="false">IF(B16=0,0,M16/B16)</f>
        <v>0.0272567831487262</v>
      </c>
      <c r="O16" s="8" t="n">
        <f aca="false">SUMIFS(Monthly_Data!$G$2:$G$433,Monthly_Data!$A$2:$A$433,$A16,Monthly_Data!$E$2:$E$433,"Revenue")</f>
        <v>16585520</v>
      </c>
      <c r="P16" s="8" t="n">
        <f aca="false">SUMIFS(Monthly_Data!$G$2:$G$433,Monthly_Data!$A$2:$A$433,$A16,Monthly_Data!$E$2:$E$433,"Revenue")-SUMIFS(Monthly_Data!$G$2:$G$433,Monthly_Data!$A$2:$A$433,$A16,Monthly_Data!$E$2:$E$433,"&lt;&gt;Revenue")</f>
        <v>992545</v>
      </c>
      <c r="Q16" s="9" t="n">
        <f aca="false">IF(O16=0,0,(B16-O16)/O16)</f>
        <v>-0.0372508670213536</v>
      </c>
      <c r="R16" s="9" t="n">
        <f aca="false">IF(P16=0,0,(M16-P16)/ABS(P16))</f>
        <v>-0.561503004901541</v>
      </c>
    </row>
    <row r="17" customFormat="false" ht="15" hidden="false" customHeight="false" outlineLevel="0" collapsed="false">
      <c r="A17" s="6" t="n">
        <v>45658</v>
      </c>
      <c r="B17" s="8" t="n">
        <f aca="false">SUMIFS(Monthly_Data!$F$2:$F$433,Monthly_Data!$A$2:$A$433,$A17,Monthly_Data!$E$2:$E$433,"Revenue")</f>
        <v>16423216</v>
      </c>
      <c r="C17" s="8" t="n">
        <f aca="false">SUMIFS(Monthly_Data!$F$2:$F$433,Monthly_Data!$A$2:$A$433,$A17,Monthly_Data!$E$2:$E$433,"COGS")</f>
        <v>8211390</v>
      </c>
      <c r="D17" s="8" t="n">
        <f aca="false">B17-C17</f>
        <v>8211826</v>
      </c>
      <c r="E17" s="9" t="n">
        <f aca="false">IF(B17=0,0,D17/B17)</f>
        <v>0.500013273892276</v>
      </c>
      <c r="F17" s="8" t="n">
        <f aca="false">SUMIFS(Monthly_Data!$F$2:$F$433,Monthly_Data!$A$2:$A$433,$A17,Monthly_Data!$E$2:$E$433,"Operating Expenses")</f>
        <v>6733584</v>
      </c>
      <c r="G17" s="8" t="n">
        <f aca="false">D17-F17</f>
        <v>1478242</v>
      </c>
      <c r="H17" s="9" t="n">
        <f aca="false">IF(B17=0,0,G17/B17)</f>
        <v>0.0900092892890162</v>
      </c>
      <c r="I17" s="8" t="n">
        <f aca="false">SUMIFS(Monthly_Data!$F$2:$F$433,Monthly_Data!$A$2:$A$433,$A17,Monthly_Data!$E$2:$E$433,"D&amp;A")</f>
        <v>414640</v>
      </c>
      <c r="J17" s="8" t="n">
        <f aca="false">G17-I17</f>
        <v>1063602</v>
      </c>
      <c r="K17" s="8" t="n">
        <f aca="false">SUMIFS(Monthly_Data!$F$2:$F$433,Monthly_Data!$A$2:$A$433,$A17,Monthly_Data!$E$2:$E$433,"Interest")</f>
        <v>262000</v>
      </c>
      <c r="L17" s="8" t="n">
        <f aca="false">SUMIFS(Monthly_Data!$F$2:$F$433,Monthly_Data!$A$2:$A$433,$A17,Monthly_Data!$E$2:$E$433,"Tax")</f>
        <v>200401</v>
      </c>
      <c r="M17" s="8" t="n">
        <f aca="false">J17-K17-L17</f>
        <v>601201</v>
      </c>
      <c r="N17" s="9" t="n">
        <f aca="false">IF(B17=0,0,M17/B17)</f>
        <v>0.0366067766508094</v>
      </c>
      <c r="O17" s="8" t="n">
        <f aca="false">SUMIFS(Monthly_Data!$G$2:$G$433,Monthly_Data!$A$2:$A$433,$A17,Monthly_Data!$E$2:$E$433,"Revenue")</f>
        <v>17141855</v>
      </c>
      <c r="P17" s="8" t="n">
        <f aca="false">SUMIFS(Monthly_Data!$G$2:$G$433,Monthly_Data!$A$2:$A$433,$A17,Monthly_Data!$E$2:$E$433,"Revenue")-SUMIFS(Monthly_Data!$G$2:$G$433,Monthly_Data!$A$2:$A$433,$A17,Monthly_Data!$E$2:$E$433,"&lt;&gt;Revenue")</f>
        <v>1202713</v>
      </c>
      <c r="Q17" s="9" t="n">
        <f aca="false">IF(O17=0,0,(B17-O17)/O17)</f>
        <v>-0.0419230590854957</v>
      </c>
      <c r="R17" s="9" t="n">
        <f aca="false">IF(P17=0,0,(M17-P17)/ABS(P17))</f>
        <v>-0.500129291027868</v>
      </c>
    </row>
    <row r="18" customFormat="false" ht="15" hidden="false" customHeight="false" outlineLevel="0" collapsed="false">
      <c r="A18" s="6" t="n">
        <v>45689</v>
      </c>
      <c r="B18" s="8" t="n">
        <f aca="false">SUMIFS(Monthly_Data!$F$2:$F$433,Monthly_Data!$A$2:$A$433,$A18,Monthly_Data!$E$2:$E$433,"Revenue")</f>
        <v>17273926</v>
      </c>
      <c r="C18" s="8" t="n">
        <f aca="false">SUMIFS(Monthly_Data!$F$2:$F$433,Monthly_Data!$A$2:$A$433,$A18,Monthly_Data!$E$2:$E$433,"COGS")</f>
        <v>8508820</v>
      </c>
      <c r="D18" s="8" t="n">
        <f aca="false">B18-C18</f>
        <v>8765106</v>
      </c>
      <c r="E18" s="9" t="n">
        <f aca="false">IF(B18=0,0,D18/B18)</f>
        <v>0.507418290433802</v>
      </c>
      <c r="F18" s="8" t="n">
        <f aca="false">SUMIFS(Monthly_Data!$F$2:$F$433,Monthly_Data!$A$2:$A$433,$A18,Monthly_Data!$E$2:$E$433,"Operating Expenses")</f>
        <v>6778317</v>
      </c>
      <c r="G18" s="8" t="n">
        <f aca="false">D18-F18</f>
        <v>1986789</v>
      </c>
      <c r="H18" s="9" t="n">
        <f aca="false">IF(B18=0,0,G18/B18)</f>
        <v>0.115016644160685</v>
      </c>
      <c r="I18" s="8" t="n">
        <f aca="false">SUMIFS(Monthly_Data!$F$2:$F$433,Monthly_Data!$A$2:$A$433,$A18,Monthly_Data!$E$2:$E$433,"D&amp;A")</f>
        <v>415884</v>
      </c>
      <c r="J18" s="8" t="n">
        <f aca="false">G18-I18</f>
        <v>1570905</v>
      </c>
      <c r="K18" s="8" t="n">
        <f aca="false">SUMIFS(Monthly_Data!$F$2:$F$433,Monthly_Data!$A$2:$A$433,$A18,Monthly_Data!$E$2:$E$433,"Interest")</f>
        <v>262376</v>
      </c>
      <c r="L18" s="8" t="n">
        <f aca="false">SUMIFS(Monthly_Data!$F$2:$F$433,Monthly_Data!$A$2:$A$433,$A18,Monthly_Data!$E$2:$E$433,"Tax")</f>
        <v>327133</v>
      </c>
      <c r="M18" s="8" t="n">
        <f aca="false">J18-K18-L18</f>
        <v>981396</v>
      </c>
      <c r="N18" s="9" t="n">
        <f aca="false">IF(B18=0,0,M18/B18)</f>
        <v>0.0568137202857069</v>
      </c>
      <c r="O18" s="8" t="n">
        <f aca="false">SUMIFS(Monthly_Data!$G$2:$G$433,Monthly_Data!$A$2:$A$433,$A18,Monthly_Data!$E$2:$E$433,"Revenue")</f>
        <v>18251828</v>
      </c>
      <c r="P18" s="8" t="n">
        <f aca="false">SUMIFS(Monthly_Data!$G$2:$G$433,Monthly_Data!$A$2:$A$433,$A18,Monthly_Data!$E$2:$E$433,"Revenue")-SUMIFS(Monthly_Data!$G$2:$G$433,Monthly_Data!$A$2:$A$433,$A18,Monthly_Data!$E$2:$E$433,"&lt;&gt;Revenue")</f>
        <v>1666845</v>
      </c>
      <c r="Q18" s="9" t="n">
        <f aca="false">IF(O18=0,0,(B18-O18)/O18)</f>
        <v>-0.0535783045950247</v>
      </c>
      <c r="R18" s="9" t="n">
        <f aca="false">IF(P18=0,0,(M18-P18)/ABS(P18))</f>
        <v>-0.41122539888232</v>
      </c>
    </row>
    <row r="19" customFormat="false" ht="15" hidden="false" customHeight="false" outlineLevel="0" collapsed="false">
      <c r="A19" s="6" t="n">
        <v>45717</v>
      </c>
      <c r="B19" s="8" t="n">
        <f aca="false">SUMIFS(Monthly_Data!$F$2:$F$433,Monthly_Data!$A$2:$A$433,$A19,Monthly_Data!$E$2:$E$433,"Revenue")</f>
        <v>18721213</v>
      </c>
      <c r="C19" s="8" t="n">
        <f aca="false">SUMIFS(Monthly_Data!$F$2:$F$433,Monthly_Data!$A$2:$A$433,$A19,Monthly_Data!$E$2:$E$433,"COGS")</f>
        <v>9128601</v>
      </c>
      <c r="D19" s="8" t="n">
        <f aca="false">B19-C19</f>
        <v>9592612</v>
      </c>
      <c r="E19" s="9" t="n">
        <f aca="false">IF(B19=0,0,D19/B19)</f>
        <v>0.512392653189727</v>
      </c>
      <c r="F19" s="8" t="n">
        <f aca="false">SUMIFS(Monthly_Data!$F$2:$F$433,Monthly_Data!$A$2:$A$433,$A19,Monthly_Data!$E$2:$E$433,"Operating Expenses")</f>
        <v>6841913</v>
      </c>
      <c r="G19" s="8" t="n">
        <f aca="false">D19-F19</f>
        <v>2750699</v>
      </c>
      <c r="H19" s="9" t="n">
        <f aca="false">IF(B19=0,0,G19/B19)</f>
        <v>0.146929528551382</v>
      </c>
      <c r="I19" s="8" t="n">
        <f aca="false">SUMIFS(Monthly_Data!$F$2:$F$433,Monthly_Data!$A$2:$A$433,$A19,Monthly_Data!$E$2:$E$433,"D&amp;A")</f>
        <v>417131</v>
      </c>
      <c r="J19" s="8" t="n">
        <f aca="false">G19-I19</f>
        <v>2333568</v>
      </c>
      <c r="K19" s="8" t="n">
        <f aca="false">SUMIFS(Monthly_Data!$F$2:$F$433,Monthly_Data!$A$2:$A$433,$A19,Monthly_Data!$E$2:$E$433,"Interest")</f>
        <v>262751</v>
      </c>
      <c r="L19" s="8" t="n">
        <f aca="false">SUMIFS(Monthly_Data!$F$2:$F$433,Monthly_Data!$A$2:$A$433,$A19,Monthly_Data!$E$2:$E$433,"Tax")</f>
        <v>517704</v>
      </c>
      <c r="M19" s="8" t="n">
        <f aca="false">J19-K19-L19</f>
        <v>1553113</v>
      </c>
      <c r="N19" s="9" t="n">
        <f aca="false">IF(B19=0,0,M19/B19)</f>
        <v>0.0829600624703111</v>
      </c>
      <c r="O19" s="8" t="n">
        <f aca="false">SUMIFS(Monthly_Data!$G$2:$G$433,Monthly_Data!$A$2:$A$433,$A19,Monthly_Data!$E$2:$E$433,"Revenue")</f>
        <v>19708092</v>
      </c>
      <c r="P19" s="8" t="n">
        <f aca="false">SUMIFS(Monthly_Data!$G$2:$G$433,Monthly_Data!$A$2:$A$433,$A19,Monthly_Data!$E$2:$E$433,"Revenue")-SUMIFS(Monthly_Data!$G$2:$G$433,Monthly_Data!$A$2:$A$433,$A19,Monthly_Data!$E$2:$E$433,"&lt;&gt;Revenue")</f>
        <v>2289693</v>
      </c>
      <c r="Q19" s="9" t="n">
        <f aca="false">IF(O19=0,0,(B19-O19)/O19)</f>
        <v>-0.0500748119097475</v>
      </c>
      <c r="R19" s="9" t="n">
        <f aca="false">IF(P19=0,0,(M19-P19)/ABS(P19))</f>
        <v>-0.321693781655445</v>
      </c>
    </row>
    <row r="20" customFormat="false" ht="15" hidden="false" customHeight="false" outlineLevel="0" collapsed="false">
      <c r="A20" s="6" t="n">
        <v>45748</v>
      </c>
      <c r="B20" s="8" t="n">
        <f aca="false">SUMIFS(Monthly_Data!$F$2:$F$433,Monthly_Data!$A$2:$A$433,$A20,Monthly_Data!$E$2:$E$433,"Revenue")</f>
        <v>20077519</v>
      </c>
      <c r="C20" s="8" t="n">
        <f aca="false">SUMIFS(Monthly_Data!$F$2:$F$433,Monthly_Data!$A$2:$A$433,$A20,Monthly_Data!$E$2:$E$433,"COGS")</f>
        <v>9730381</v>
      </c>
      <c r="D20" s="8" t="n">
        <f aca="false">B20-C20</f>
        <v>10347138</v>
      </c>
      <c r="E20" s="9" t="n">
        <f aca="false">IF(B20=0,0,D20/B20)</f>
        <v>0.515359392761626</v>
      </c>
      <c r="F20" s="8" t="n">
        <f aca="false">SUMIFS(Monthly_Data!$F$2:$F$433,Monthly_Data!$A$2:$A$433,$A20,Monthly_Data!$E$2:$E$433,"Operating Expenses")</f>
        <v>6893349</v>
      </c>
      <c r="G20" s="8" t="n">
        <f aca="false">D20-F20</f>
        <v>3453789</v>
      </c>
      <c r="H20" s="9" t="n">
        <f aca="false">IF(B20=0,0,G20/B20)</f>
        <v>0.172022698621279</v>
      </c>
      <c r="I20" s="8" t="n">
        <f aca="false">SUMIFS(Monthly_Data!$F$2:$F$433,Monthly_Data!$A$2:$A$433,$A20,Monthly_Data!$E$2:$E$433,"D&amp;A")</f>
        <v>418383</v>
      </c>
      <c r="J20" s="8" t="n">
        <f aca="false">G20-I20</f>
        <v>3035406</v>
      </c>
      <c r="K20" s="8" t="n">
        <f aca="false">SUMIFS(Monthly_Data!$F$2:$F$433,Monthly_Data!$A$2:$A$433,$A20,Monthly_Data!$E$2:$E$433,"Interest")</f>
        <v>263126</v>
      </c>
      <c r="L20" s="8" t="n">
        <f aca="false">SUMIFS(Monthly_Data!$F$2:$F$433,Monthly_Data!$A$2:$A$433,$A20,Monthly_Data!$E$2:$E$433,"Tax")</f>
        <v>693070</v>
      </c>
      <c r="M20" s="8" t="n">
        <f aca="false">J20-K20-L20</f>
        <v>2079210</v>
      </c>
      <c r="N20" s="9" t="n">
        <f aca="false">IF(B20=0,0,M20/B20)</f>
        <v>0.103559110067335</v>
      </c>
      <c r="O20" s="8" t="n">
        <f aca="false">SUMIFS(Monthly_Data!$G$2:$G$433,Monthly_Data!$A$2:$A$433,$A20,Monthly_Data!$E$2:$E$433,"Revenue")</f>
        <v>21203937</v>
      </c>
      <c r="P20" s="8" t="n">
        <f aca="false">SUMIFS(Monthly_Data!$G$2:$G$433,Monthly_Data!$A$2:$A$433,$A20,Monthly_Data!$E$2:$E$433,"Revenue")-SUMIFS(Monthly_Data!$G$2:$G$433,Monthly_Data!$A$2:$A$433,$A20,Monthly_Data!$E$2:$E$433,"&lt;&gt;Revenue")</f>
        <v>2930357</v>
      </c>
      <c r="Q20" s="9" t="n">
        <f aca="false">IF(O20=0,0,(B20-O20)/O20)</f>
        <v>-0.0531230591752843</v>
      </c>
      <c r="R20" s="9" t="n">
        <f aca="false">IF(P20=0,0,(M20-P20)/ABS(P20))</f>
        <v>-0.290458466323387</v>
      </c>
    </row>
    <row r="21" customFormat="false" ht="15" hidden="false" customHeight="false" outlineLevel="0" collapsed="false">
      <c r="A21" s="6" t="n">
        <v>45778</v>
      </c>
      <c r="B21" s="8" t="n">
        <f aca="false">SUMIFS(Monthly_Data!$F$2:$F$433,Monthly_Data!$A$2:$A$433,$A21,Monthly_Data!$E$2:$E$433,"Revenue")</f>
        <v>21351341</v>
      </c>
      <c r="C21" s="8" t="n">
        <f aca="false">SUMIFS(Monthly_Data!$F$2:$F$433,Monthly_Data!$A$2:$A$433,$A21,Monthly_Data!$E$2:$E$433,"COGS")</f>
        <v>10259244</v>
      </c>
      <c r="D21" s="8" t="n">
        <f aca="false">B21-C21</f>
        <v>11092097</v>
      </c>
      <c r="E21" s="9" t="n">
        <f aca="false">IF(B21=0,0,D21/B21)</f>
        <v>0.519503529075762</v>
      </c>
      <c r="F21" s="8" t="n">
        <f aca="false">SUMIFS(Monthly_Data!$F$2:$F$433,Monthly_Data!$A$2:$A$433,$A21,Monthly_Data!$E$2:$E$433,"Operating Expenses")</f>
        <v>6949627</v>
      </c>
      <c r="G21" s="8" t="n">
        <f aca="false">D21-F21</f>
        <v>4142470</v>
      </c>
      <c r="H21" s="9" t="n">
        <f aca="false">IF(B21=0,0,G21/B21)</f>
        <v>0.194014511781719</v>
      </c>
      <c r="I21" s="8" t="n">
        <f aca="false">SUMIFS(Monthly_Data!$F$2:$F$433,Monthly_Data!$A$2:$A$433,$A21,Monthly_Data!$E$2:$E$433,"D&amp;A")</f>
        <v>419638</v>
      </c>
      <c r="J21" s="8" t="n">
        <f aca="false">G21-I21</f>
        <v>3722832</v>
      </c>
      <c r="K21" s="8" t="n">
        <f aca="false">SUMIFS(Monthly_Data!$F$2:$F$433,Monthly_Data!$A$2:$A$433,$A21,Monthly_Data!$E$2:$E$433,"Interest")</f>
        <v>263500</v>
      </c>
      <c r="L21" s="8" t="n">
        <f aca="false">SUMIFS(Monthly_Data!$F$2:$F$433,Monthly_Data!$A$2:$A$433,$A21,Monthly_Data!$E$2:$E$433,"Tax")</f>
        <v>864834</v>
      </c>
      <c r="M21" s="8" t="n">
        <f aca="false">J21-K21-L21</f>
        <v>2594498</v>
      </c>
      <c r="N21" s="9" t="n">
        <f aca="false">IF(B21=0,0,M21/B21)</f>
        <v>0.12151452220261</v>
      </c>
      <c r="O21" s="8" t="n">
        <f aca="false">SUMIFS(Monthly_Data!$G$2:$G$433,Monthly_Data!$A$2:$A$433,$A21,Monthly_Data!$E$2:$E$433,"Revenue")</f>
        <v>22413798</v>
      </c>
      <c r="P21" s="8" t="n">
        <f aca="false">SUMIFS(Monthly_Data!$G$2:$G$433,Monthly_Data!$A$2:$A$433,$A21,Monthly_Data!$E$2:$E$433,"Revenue")-SUMIFS(Monthly_Data!$G$2:$G$433,Monthly_Data!$A$2:$A$433,$A21,Monthly_Data!$E$2:$E$433,"&lt;&gt;Revenue")</f>
        <v>3439273</v>
      </c>
      <c r="Q21" s="9" t="n">
        <f aca="false">IF(O21=0,0,(B21-O21)/O21)</f>
        <v>-0.0474019173368119</v>
      </c>
      <c r="R21" s="9" t="n">
        <f aca="false">IF(P21=0,0,(M21-P21)/ABS(P21))</f>
        <v>-0.245626037828343</v>
      </c>
    </row>
    <row r="22" customFormat="false" ht="15" hidden="false" customHeight="false" outlineLevel="0" collapsed="false">
      <c r="A22" s="6" t="n">
        <v>45809</v>
      </c>
      <c r="B22" s="8" t="n">
        <f aca="false">SUMIFS(Monthly_Data!$F$2:$F$433,Monthly_Data!$A$2:$A$433,$A22,Monthly_Data!$E$2:$E$433,"Revenue")</f>
        <v>21881814</v>
      </c>
      <c r="C22" s="8" t="n">
        <f aca="false">SUMIFS(Monthly_Data!$F$2:$F$433,Monthly_Data!$A$2:$A$433,$A22,Monthly_Data!$E$2:$E$433,"COGS")</f>
        <v>10463657</v>
      </c>
      <c r="D22" s="8" t="n">
        <f aca="false">B22-C22</f>
        <v>11418157</v>
      </c>
      <c r="E22" s="9" t="n">
        <f aca="false">IF(B22=0,0,D22/B22)</f>
        <v>0.521810348995746</v>
      </c>
      <c r="F22" s="8" t="n">
        <f aca="false">SUMIFS(Monthly_Data!$F$2:$F$433,Monthly_Data!$A$2:$A$433,$A22,Monthly_Data!$E$2:$E$433,"Operating Expenses")</f>
        <v>6999581</v>
      </c>
      <c r="G22" s="8" t="n">
        <f aca="false">D22-F22</f>
        <v>4418576</v>
      </c>
      <c r="H22" s="9" t="n">
        <f aca="false">IF(B22=0,0,G22/B22)</f>
        <v>0.201929145362446</v>
      </c>
      <c r="I22" s="8" t="n">
        <f aca="false">SUMIFS(Monthly_Data!$F$2:$F$433,Monthly_Data!$A$2:$A$433,$A22,Monthly_Data!$E$2:$E$433,"D&amp;A")</f>
        <v>420897</v>
      </c>
      <c r="J22" s="8" t="n">
        <f aca="false">G22-I22</f>
        <v>3997679</v>
      </c>
      <c r="K22" s="8" t="n">
        <f aca="false">SUMIFS(Monthly_Data!$F$2:$F$433,Monthly_Data!$A$2:$A$433,$A22,Monthly_Data!$E$2:$E$433,"Interest")</f>
        <v>263876</v>
      </c>
      <c r="L22" s="8" t="n">
        <f aca="false">SUMIFS(Monthly_Data!$F$2:$F$433,Monthly_Data!$A$2:$A$433,$A22,Monthly_Data!$E$2:$E$433,"Tax")</f>
        <v>933452</v>
      </c>
      <c r="M22" s="8" t="n">
        <f aca="false">J22-K22-L22</f>
        <v>2800351</v>
      </c>
      <c r="N22" s="9" t="n">
        <f aca="false">IF(B22=0,0,M22/B22)</f>
        <v>0.127976181499395</v>
      </c>
      <c r="O22" s="8" t="n">
        <f aca="false">SUMIFS(Monthly_Data!$G$2:$G$433,Monthly_Data!$A$2:$A$433,$A22,Monthly_Data!$E$2:$E$433,"Revenue")</f>
        <v>23081324</v>
      </c>
      <c r="P22" s="8" t="n">
        <f aca="false">SUMIFS(Monthly_Data!$G$2:$G$433,Monthly_Data!$A$2:$A$433,$A22,Monthly_Data!$E$2:$E$433,"Revenue")-SUMIFS(Monthly_Data!$G$2:$G$433,Monthly_Data!$A$2:$A$433,$A22,Monthly_Data!$E$2:$E$433,"&lt;&gt;Revenue")</f>
        <v>3698686</v>
      </c>
      <c r="Q22" s="9" t="n">
        <f aca="false">IF(O22=0,0,(B22-O22)/O22)</f>
        <v>-0.0519688558593952</v>
      </c>
      <c r="R22" s="9" t="n">
        <f aca="false">IF(P22=0,0,(M22-P22)/ABS(P22))</f>
        <v>-0.242879498286689</v>
      </c>
    </row>
    <row r="23" customFormat="false" ht="15" hidden="false" customHeight="false" outlineLevel="0" collapsed="false">
      <c r="A23" s="6" t="n">
        <v>45839</v>
      </c>
      <c r="B23" s="8" t="n">
        <f aca="false">SUMIFS(Monthly_Data!$F$2:$F$433,Monthly_Data!$A$2:$A$433,$A23,Monthly_Data!$E$2:$E$433,"Revenue")</f>
        <v>21628152</v>
      </c>
      <c r="C23" s="8" t="n">
        <f aca="false">SUMIFS(Monthly_Data!$F$2:$F$433,Monthly_Data!$A$2:$A$433,$A23,Monthly_Data!$E$2:$E$433,"COGS")</f>
        <v>10312790</v>
      </c>
      <c r="D23" s="8" t="n">
        <f aca="false">B23-C23</f>
        <v>11315362</v>
      </c>
      <c r="E23" s="9" t="n">
        <f aca="false">IF(B23=0,0,D23/B23)</f>
        <v>0.523177477206559</v>
      </c>
      <c r="F23" s="8" t="n">
        <f aca="false">SUMIFS(Monthly_Data!$F$2:$F$433,Monthly_Data!$A$2:$A$433,$A23,Monthly_Data!$E$2:$E$433,"Operating Expenses")</f>
        <v>7052759</v>
      </c>
      <c r="G23" s="8" t="n">
        <f aca="false">D23-F23</f>
        <v>4262603</v>
      </c>
      <c r="H23" s="9" t="n">
        <f aca="false">IF(B23=0,0,G23/B23)</f>
        <v>0.197085862906826</v>
      </c>
      <c r="I23" s="8" t="n">
        <f aca="false">SUMIFS(Monthly_Data!$F$2:$F$433,Monthly_Data!$A$2:$A$433,$A23,Monthly_Data!$E$2:$E$433,"D&amp;A")</f>
        <v>422160</v>
      </c>
      <c r="J23" s="8" t="n">
        <f aca="false">G23-I23</f>
        <v>3840443</v>
      </c>
      <c r="K23" s="8" t="n">
        <f aca="false">SUMIFS(Monthly_Data!$F$2:$F$433,Monthly_Data!$A$2:$A$433,$A23,Monthly_Data!$E$2:$E$433,"Interest")</f>
        <v>264251</v>
      </c>
      <c r="L23" s="8" t="n">
        <f aca="false">SUMIFS(Monthly_Data!$F$2:$F$433,Monthly_Data!$A$2:$A$433,$A23,Monthly_Data!$E$2:$E$433,"Tax")</f>
        <v>894049</v>
      </c>
      <c r="M23" s="8" t="n">
        <f aca="false">J23-K23-L23</f>
        <v>2682143</v>
      </c>
      <c r="N23" s="9" t="n">
        <f aca="false">IF(B23=0,0,M23/B23)</f>
        <v>0.124011658508781</v>
      </c>
      <c r="O23" s="8" t="n">
        <f aca="false">SUMIFS(Monthly_Data!$G$2:$G$433,Monthly_Data!$A$2:$A$433,$A23,Monthly_Data!$E$2:$E$433,"Revenue")</f>
        <v>23091253</v>
      </c>
      <c r="P23" s="8" t="n">
        <f aca="false">SUMIFS(Monthly_Data!$G$2:$G$433,Monthly_Data!$A$2:$A$433,$A23,Monthly_Data!$E$2:$E$433,"Revenue")-SUMIFS(Monthly_Data!$G$2:$G$433,Monthly_Data!$A$2:$A$433,$A23,Monthly_Data!$E$2:$E$433,"&lt;&gt;Revenue")</f>
        <v>3655632</v>
      </c>
      <c r="Q23" s="9" t="n">
        <f aca="false">IF(O23=0,0,(B23-O23)/O23)</f>
        <v>-0.0633616980421115</v>
      </c>
      <c r="R23" s="9" t="n">
        <f aca="false">IF(P23=0,0,(M23-P23)/ABS(P23))</f>
        <v>-0.266298412969358</v>
      </c>
    </row>
    <row r="24" customFormat="false" ht="15" hidden="false" customHeight="false" outlineLevel="0" collapsed="false">
      <c r="A24" s="6" t="n">
        <v>45870</v>
      </c>
      <c r="B24" s="8" t="n">
        <f aca="false">SUMIFS(Monthly_Data!$F$2:$F$433,Monthly_Data!$A$2:$A$433,$A24,Monthly_Data!$E$2:$E$433,"Revenue")</f>
        <v>21155805</v>
      </c>
      <c r="C24" s="8" t="n">
        <f aca="false">SUMIFS(Monthly_Data!$F$2:$F$433,Monthly_Data!$A$2:$A$433,$A24,Monthly_Data!$E$2:$E$433,"COGS")</f>
        <v>10182807</v>
      </c>
      <c r="D24" s="8" t="n">
        <f aca="false">B24-C24</f>
        <v>10972998</v>
      </c>
      <c r="E24" s="9" t="n">
        <f aca="false">IF(B24=0,0,D24/B24)</f>
        <v>0.518675512465728</v>
      </c>
      <c r="F24" s="8" t="n">
        <f aca="false">SUMIFS(Monthly_Data!$F$2:$F$433,Monthly_Data!$A$2:$A$433,$A24,Monthly_Data!$E$2:$E$433,"Operating Expenses")</f>
        <v>7112687</v>
      </c>
      <c r="G24" s="8" t="n">
        <f aca="false">D24-F24</f>
        <v>3860311</v>
      </c>
      <c r="H24" s="9" t="n">
        <f aca="false">IF(B24=0,0,G24/B24)</f>
        <v>0.182470532319616</v>
      </c>
      <c r="I24" s="8" t="n">
        <f aca="false">SUMIFS(Monthly_Data!$F$2:$F$433,Monthly_Data!$A$2:$A$433,$A24,Monthly_Data!$E$2:$E$433,"D&amp;A")</f>
        <v>423427</v>
      </c>
      <c r="J24" s="8" t="n">
        <f aca="false">G24-I24</f>
        <v>3436884</v>
      </c>
      <c r="K24" s="8" t="n">
        <f aca="false">SUMIFS(Monthly_Data!$F$2:$F$433,Monthly_Data!$A$2:$A$433,$A24,Monthly_Data!$E$2:$E$433,"Interest")</f>
        <v>264626</v>
      </c>
      <c r="L24" s="8" t="n">
        <f aca="false">SUMIFS(Monthly_Data!$F$2:$F$433,Monthly_Data!$A$2:$A$433,$A24,Monthly_Data!$E$2:$E$433,"Tax")</f>
        <v>793066</v>
      </c>
      <c r="M24" s="8" t="n">
        <f aca="false">J24-K24-L24</f>
        <v>2379192</v>
      </c>
      <c r="N24" s="9" t="n">
        <f aca="false">IF(B24=0,0,M24/B24)</f>
        <v>0.112460480704941</v>
      </c>
      <c r="O24" s="8" t="n">
        <f aca="false">SUMIFS(Monthly_Data!$G$2:$G$433,Monthly_Data!$A$2:$A$433,$A24,Monthly_Data!$E$2:$E$433,"Revenue")</f>
        <v>22505084</v>
      </c>
      <c r="P24" s="8" t="n">
        <f aca="false">SUMIFS(Monthly_Data!$G$2:$G$433,Monthly_Data!$A$2:$A$433,$A24,Monthly_Data!$E$2:$E$433,"Revenue")-SUMIFS(Monthly_Data!$G$2:$G$433,Monthly_Data!$A$2:$A$433,$A24,Monthly_Data!$E$2:$E$433,"&lt;&gt;Revenue")</f>
        <v>3338364</v>
      </c>
      <c r="Q24" s="9" t="n">
        <f aca="false">IF(O24=0,0,(B24-O24)/O24)</f>
        <v>-0.0599544085238695</v>
      </c>
      <c r="R24" s="9" t="n">
        <f aca="false">IF(P24=0,0,(M24-P24)/ABS(P24))</f>
        <v>-0.287317979705029</v>
      </c>
    </row>
    <row r="25" customFormat="false" ht="15" hidden="false" customHeight="false" outlineLevel="0" collapsed="false">
      <c r="A25" s="6" t="n">
        <v>45901</v>
      </c>
      <c r="B25" s="8" t="n">
        <f aca="false">SUMIFS(Monthly_Data!$F$2:$F$433,Monthly_Data!$A$2:$A$433,$A25,Monthly_Data!$E$2:$E$433,"Revenue")</f>
        <v>19877711</v>
      </c>
      <c r="C25" s="8" t="n">
        <f aca="false">SUMIFS(Monthly_Data!$F$2:$F$433,Monthly_Data!$A$2:$A$433,$A25,Monthly_Data!$E$2:$E$433,"COGS")</f>
        <v>9684746</v>
      </c>
      <c r="D25" s="8" t="n">
        <f aca="false">B25-C25</f>
        <v>10192965</v>
      </c>
      <c r="E25" s="9" t="n">
        <f aca="false">IF(B25=0,0,D25/B25)</f>
        <v>0.512783639927153</v>
      </c>
      <c r="F25" s="8" t="n">
        <f aca="false">SUMIFS(Monthly_Data!$F$2:$F$433,Monthly_Data!$A$2:$A$433,$A25,Monthly_Data!$E$2:$E$433,"Operating Expenses")</f>
        <v>7166788</v>
      </c>
      <c r="G25" s="8" t="n">
        <f aca="false">D25-F25</f>
        <v>3026177</v>
      </c>
      <c r="H25" s="9" t="n">
        <f aca="false">IF(B25=0,0,G25/B25)</f>
        <v>0.152239712107697</v>
      </c>
      <c r="I25" s="8" t="n">
        <f aca="false">SUMIFS(Monthly_Data!$F$2:$F$433,Monthly_Data!$A$2:$A$433,$A25,Monthly_Data!$E$2:$E$433,"D&amp;A")</f>
        <v>424696</v>
      </c>
      <c r="J25" s="8" t="n">
        <f aca="false">G25-I25</f>
        <v>2601481</v>
      </c>
      <c r="K25" s="8" t="n">
        <f aca="false">SUMIFS(Monthly_Data!$F$2:$F$433,Monthly_Data!$A$2:$A$433,$A25,Monthly_Data!$E$2:$E$433,"Interest")</f>
        <v>265000</v>
      </c>
      <c r="L25" s="8" t="n">
        <f aca="false">SUMIFS(Monthly_Data!$F$2:$F$433,Monthly_Data!$A$2:$A$433,$A25,Monthly_Data!$E$2:$E$433,"Tax")</f>
        <v>584120</v>
      </c>
      <c r="M25" s="8" t="n">
        <f aca="false">J25-K25-L25</f>
        <v>1752361</v>
      </c>
      <c r="N25" s="9" t="n">
        <f aca="false">IF(B25=0,0,M25/B25)</f>
        <v>0.0881570820704658</v>
      </c>
      <c r="O25" s="8" t="n">
        <f aca="false">SUMIFS(Monthly_Data!$G$2:$G$433,Monthly_Data!$A$2:$A$433,$A25,Monthly_Data!$E$2:$E$433,"Revenue")</f>
        <v>21549680</v>
      </c>
      <c r="P25" s="8" t="n">
        <f aca="false">SUMIFS(Monthly_Data!$G$2:$G$433,Monthly_Data!$A$2:$A$433,$A25,Monthly_Data!$E$2:$E$433,"Revenue")-SUMIFS(Monthly_Data!$G$2:$G$433,Monthly_Data!$A$2:$A$433,$A25,Monthly_Data!$E$2:$E$433,"&lt;&gt;Revenue")</f>
        <v>2851105</v>
      </c>
      <c r="Q25" s="9" t="n">
        <f aca="false">IF(O25=0,0,(B25-O25)/O25)</f>
        <v>-0.0775867205452703</v>
      </c>
      <c r="R25" s="9" t="n">
        <f aca="false">IF(P25=0,0,(M25-P25)/ABS(P25))</f>
        <v>-0.385374793281903</v>
      </c>
    </row>
    <row r="26" customFormat="false" ht="15" hidden="false" customHeight="false" outlineLevel="0" collapsed="false">
      <c r="A26" s="6" t="n">
        <v>45931</v>
      </c>
      <c r="B26" s="8" t="n">
        <f aca="false">SUMIFS(Monthly_Data!$F$2:$F$433,Monthly_Data!$A$2:$A$433,$A26,Monthly_Data!$E$2:$E$433,"Revenue")</f>
        <v>19380604</v>
      </c>
      <c r="C26" s="8" t="n">
        <f aca="false">SUMIFS(Monthly_Data!$F$2:$F$433,Monthly_Data!$A$2:$A$433,$A26,Monthly_Data!$E$2:$E$433,"COGS")</f>
        <v>9570921</v>
      </c>
      <c r="D26" s="8" t="n">
        <f aca="false">B26-C26</f>
        <v>9809683</v>
      </c>
      <c r="E26" s="9" t="n">
        <f aca="false">IF(B26=0,0,D26/B26)</f>
        <v>0.506159818342091</v>
      </c>
      <c r="F26" s="8" t="n">
        <f aca="false">SUMIFS(Monthly_Data!$F$2:$F$433,Monthly_Data!$A$2:$A$433,$A26,Monthly_Data!$E$2:$E$433,"Operating Expenses")</f>
        <v>7231912</v>
      </c>
      <c r="G26" s="8" t="n">
        <f aca="false">D26-F26</f>
        <v>2577771</v>
      </c>
      <c r="H26" s="9" t="n">
        <f aca="false">IF(B26=0,0,G26/B26)</f>
        <v>0.133007774164314</v>
      </c>
      <c r="I26" s="8" t="n">
        <f aca="false">SUMIFS(Monthly_Data!$F$2:$F$433,Monthly_Data!$A$2:$A$433,$A26,Monthly_Data!$E$2:$E$433,"D&amp;A")</f>
        <v>425971</v>
      </c>
      <c r="J26" s="8" t="n">
        <f aca="false">G26-I26</f>
        <v>2151800</v>
      </c>
      <c r="K26" s="8" t="n">
        <f aca="false">SUMIFS(Monthly_Data!$F$2:$F$433,Monthly_Data!$A$2:$A$433,$A26,Monthly_Data!$E$2:$E$433,"Interest")</f>
        <v>265376</v>
      </c>
      <c r="L26" s="8" t="n">
        <f aca="false">SUMIFS(Monthly_Data!$F$2:$F$433,Monthly_Data!$A$2:$A$433,$A26,Monthly_Data!$E$2:$E$433,"Tax")</f>
        <v>471607</v>
      </c>
      <c r="M26" s="8" t="n">
        <f aca="false">J26-K26-L26</f>
        <v>1414817</v>
      </c>
      <c r="N26" s="9" t="n">
        <f aca="false">IF(B26=0,0,M26/B26)</f>
        <v>0.073001697986296</v>
      </c>
      <c r="O26" s="8" t="n">
        <f aca="false">SUMIFS(Monthly_Data!$G$2:$G$433,Monthly_Data!$A$2:$A$433,$A26,Monthly_Data!$E$2:$E$433,"Revenue")</f>
        <v>20560550</v>
      </c>
      <c r="P26" s="8" t="n">
        <f aca="false">SUMIFS(Monthly_Data!$G$2:$G$433,Monthly_Data!$A$2:$A$433,$A26,Monthly_Data!$E$2:$E$433,"Revenue")-SUMIFS(Monthly_Data!$G$2:$G$433,Monthly_Data!$A$2:$A$433,$A26,Monthly_Data!$E$2:$E$433,"&lt;&gt;Revenue")</f>
        <v>2347958</v>
      </c>
      <c r="Q26" s="9" t="n">
        <f aca="false">IF(O26=0,0,(B26-O26)/O26)</f>
        <v>-0.0573888344426584</v>
      </c>
      <c r="R26" s="9" t="n">
        <f aca="false">IF(P26=0,0,(M26-P26)/ABS(P26))</f>
        <v>-0.397426614956486</v>
      </c>
    </row>
    <row r="27" customFormat="false" ht="15" hidden="false" customHeight="false" outlineLevel="0" collapsed="false">
      <c r="A27" s="6" t="n">
        <v>45962</v>
      </c>
      <c r="B27" s="8" t="n">
        <f aca="false">SUMIFS(Monthly_Data!$F$2:$F$433,Monthly_Data!$A$2:$A$433,$A27,Monthly_Data!$E$2:$E$433,"Revenue")</f>
        <v>18508219</v>
      </c>
      <c r="C27" s="8" t="n">
        <f aca="false">SUMIFS(Monthly_Data!$F$2:$F$433,Monthly_Data!$A$2:$A$433,$A27,Monthly_Data!$E$2:$E$433,"COGS")</f>
        <v>9189795</v>
      </c>
      <c r="D27" s="8" t="n">
        <f aca="false">B27-C27</f>
        <v>9318424</v>
      </c>
      <c r="E27" s="9" t="n">
        <f aca="false">IF(B27=0,0,D27/B27)</f>
        <v>0.503474915657741</v>
      </c>
      <c r="F27" s="8" t="n">
        <f aca="false">SUMIFS(Monthly_Data!$F$2:$F$433,Monthly_Data!$A$2:$A$433,$A27,Monthly_Data!$E$2:$E$433,"Operating Expenses")</f>
        <v>7280319</v>
      </c>
      <c r="G27" s="8" t="n">
        <f aca="false">D27-F27</f>
        <v>2038105</v>
      </c>
      <c r="H27" s="9" t="n">
        <f aca="false">IF(B27=0,0,G27/B27)</f>
        <v>0.110118915277586</v>
      </c>
      <c r="I27" s="8" t="n">
        <f aca="false">SUMIFS(Monthly_Data!$F$2:$F$433,Monthly_Data!$A$2:$A$433,$A27,Monthly_Data!$E$2:$E$433,"D&amp;A")</f>
        <v>427249</v>
      </c>
      <c r="J27" s="8" t="n">
        <f aca="false">G27-I27</f>
        <v>1610856</v>
      </c>
      <c r="K27" s="8" t="n">
        <f aca="false">SUMIFS(Monthly_Data!$F$2:$F$433,Monthly_Data!$A$2:$A$433,$A27,Monthly_Data!$E$2:$E$433,"Interest")</f>
        <v>265751</v>
      </c>
      <c r="L27" s="8" t="n">
        <f aca="false">SUMIFS(Monthly_Data!$F$2:$F$433,Monthly_Data!$A$2:$A$433,$A27,Monthly_Data!$E$2:$E$433,"Tax")</f>
        <v>336276</v>
      </c>
      <c r="M27" s="8" t="n">
        <f aca="false">J27-K27-L27</f>
        <v>1008829</v>
      </c>
      <c r="N27" s="9" t="n">
        <f aca="false">IF(B27=0,0,M27/B27)</f>
        <v>0.0545070814215025</v>
      </c>
      <c r="O27" s="8" t="n">
        <f aca="false">SUMIFS(Monthly_Data!$G$2:$G$433,Monthly_Data!$A$2:$A$433,$A27,Monthly_Data!$E$2:$E$433,"Revenue")</f>
        <v>19893823</v>
      </c>
      <c r="P27" s="8" t="n">
        <f aca="false">SUMIFS(Monthly_Data!$G$2:$G$433,Monthly_Data!$A$2:$A$433,$A27,Monthly_Data!$E$2:$E$433,"Revenue")-SUMIFS(Monthly_Data!$G$2:$G$433,Monthly_Data!$A$2:$A$433,$A27,Monthly_Data!$E$2:$E$433,"&lt;&gt;Revenue")</f>
        <v>1992530</v>
      </c>
      <c r="Q27" s="9" t="n">
        <f aca="false">IF(O27=0,0,(B27-O27)/O27)</f>
        <v>-0.069649961196498</v>
      </c>
      <c r="R27" s="9" t="n">
        <f aca="false">IF(P27=0,0,(M27-P27)/ABS(P27))</f>
        <v>-0.493694448766142</v>
      </c>
    </row>
    <row r="28" customFormat="false" ht="15" hidden="false" customHeight="false" outlineLevel="0" collapsed="false">
      <c r="A28" s="6" t="n">
        <v>45992</v>
      </c>
      <c r="B28" s="8" t="n">
        <f aca="false">SUMIFS(Monthly_Data!$F$2:$F$433,Monthly_Data!$A$2:$A$433,$A28,Monthly_Data!$E$2:$E$433,"Revenue")</f>
        <v>18382603</v>
      </c>
      <c r="C28" s="8" t="n">
        <f aca="false">SUMIFS(Monthly_Data!$F$2:$F$433,Monthly_Data!$A$2:$A$433,$A28,Monthly_Data!$E$2:$E$433,"COGS")</f>
        <v>9128255</v>
      </c>
      <c r="D28" s="8" t="n">
        <f aca="false">B28-C28</f>
        <v>9254348</v>
      </c>
      <c r="E28" s="9" t="n">
        <f aca="false">IF(B28=0,0,D28/B28)</f>
        <v>0.503429682945337</v>
      </c>
      <c r="F28" s="8" t="n">
        <f aca="false">SUMIFS(Monthly_Data!$F$2:$F$433,Monthly_Data!$A$2:$A$433,$A28,Monthly_Data!$E$2:$E$433,"Operating Expenses")</f>
        <v>7339682</v>
      </c>
      <c r="G28" s="8" t="n">
        <f aca="false">D28-F28</f>
        <v>1914666</v>
      </c>
      <c r="H28" s="9" t="n">
        <f aca="false">IF(B28=0,0,G28/B28)</f>
        <v>0.104156413539475</v>
      </c>
      <c r="I28" s="8" t="n">
        <f aca="false">SUMIFS(Monthly_Data!$F$2:$F$433,Monthly_Data!$A$2:$A$433,$A28,Monthly_Data!$E$2:$E$433,"D&amp;A")</f>
        <v>428531</v>
      </c>
      <c r="J28" s="8" t="n">
        <f aca="false">G28-I28</f>
        <v>1486135</v>
      </c>
      <c r="K28" s="8" t="n">
        <f aca="false">SUMIFS(Monthly_Data!$F$2:$F$433,Monthly_Data!$A$2:$A$433,$A28,Monthly_Data!$E$2:$E$433,"Interest")</f>
        <v>266126</v>
      </c>
      <c r="L28" s="8" t="n">
        <f aca="false">SUMIFS(Monthly_Data!$F$2:$F$433,Monthly_Data!$A$2:$A$433,$A28,Monthly_Data!$E$2:$E$433,"Tax")</f>
        <v>305002</v>
      </c>
      <c r="M28" s="8" t="n">
        <f aca="false">J28-K28-L28</f>
        <v>915007</v>
      </c>
      <c r="N28" s="9" t="n">
        <f aca="false">IF(B28=0,0,M28/B28)</f>
        <v>0.0497757036911475</v>
      </c>
      <c r="O28" s="8" t="n">
        <f aca="false">SUMIFS(Monthly_Data!$G$2:$G$433,Monthly_Data!$A$2:$A$433,$A28,Monthly_Data!$E$2:$E$433,"Revenue")</f>
        <v>19829950</v>
      </c>
      <c r="P28" s="8" t="n">
        <f aca="false">SUMIFS(Monthly_Data!$G$2:$G$433,Monthly_Data!$A$2:$A$433,$A28,Monthly_Data!$E$2:$E$433,"Revenue")-SUMIFS(Monthly_Data!$G$2:$G$433,Monthly_Data!$A$2:$A$433,$A28,Monthly_Data!$E$2:$E$433,"&lt;&gt;Revenue")</f>
        <v>1913642</v>
      </c>
      <c r="Q28" s="9" t="n">
        <f aca="false">IF(O28=0,0,(B28-O28)/O28)</f>
        <v>-0.0729879298737516</v>
      </c>
      <c r="R28" s="9" t="n">
        <f aca="false">IF(P28=0,0,(M28-P28)/ABS(P28))</f>
        <v>-0.521850481960576</v>
      </c>
    </row>
    <row r="29" customFormat="false" ht="15" hidden="false" customHeight="false" outlineLevel="0" collapsed="false">
      <c r="A29" s="6" t="n">
        <v>46023</v>
      </c>
      <c r="B29" s="8" t="n">
        <f aca="false">SUMIFS(Monthly_Data!$F$2:$F$433,Monthly_Data!$A$2:$A$433,$A29,Monthly_Data!$E$2:$E$433,"Revenue")</f>
        <v>18707745</v>
      </c>
      <c r="C29" s="8" t="n">
        <f aca="false">SUMIFS(Monthly_Data!$F$2:$F$433,Monthly_Data!$A$2:$A$433,$A29,Monthly_Data!$E$2:$E$433,"COGS")</f>
        <v>9237334</v>
      </c>
      <c r="D29" s="8" t="n">
        <f aca="false">B29-C29</f>
        <v>9470411</v>
      </c>
      <c r="E29" s="9" t="n">
        <f aca="false">IF(B29=0,0,D29/B29)</f>
        <v>0.506229425299522</v>
      </c>
      <c r="F29" s="8" t="n">
        <f aca="false">SUMIFS(Monthly_Data!$F$2:$F$433,Monthly_Data!$A$2:$A$433,$A29,Monthly_Data!$E$2:$E$433,"Operating Expenses")</f>
        <v>7394522</v>
      </c>
      <c r="G29" s="8" t="n">
        <f aca="false">D29-F29</f>
        <v>2075889</v>
      </c>
      <c r="H29" s="9" t="n">
        <f aca="false">IF(B29=0,0,G29/B29)</f>
        <v>0.110964148805749</v>
      </c>
      <c r="I29" s="8" t="n">
        <f aca="false">SUMIFS(Monthly_Data!$F$2:$F$433,Monthly_Data!$A$2:$A$433,$A29,Monthly_Data!$E$2:$E$433,"D&amp;A")</f>
        <v>429816</v>
      </c>
      <c r="J29" s="8" t="n">
        <f aca="false">G29-I29</f>
        <v>1646073</v>
      </c>
      <c r="K29" s="8" t="n">
        <f aca="false">SUMIFS(Monthly_Data!$F$2:$F$433,Monthly_Data!$A$2:$A$433,$A29,Monthly_Data!$E$2:$E$433,"Interest")</f>
        <v>266500</v>
      </c>
      <c r="L29" s="8" t="n">
        <f aca="false">SUMIFS(Monthly_Data!$F$2:$F$433,Monthly_Data!$A$2:$A$433,$A29,Monthly_Data!$E$2:$E$433,"Tax")</f>
        <v>344894</v>
      </c>
      <c r="M29" s="8" t="n">
        <f aca="false">J29-K29-L29</f>
        <v>1034679</v>
      </c>
      <c r="N29" s="9" t="n">
        <f aca="false">IF(B29=0,0,M29/B29)</f>
        <v>0.0553075210293918</v>
      </c>
      <c r="O29" s="8" t="n">
        <f aca="false">SUMIFS(Monthly_Data!$G$2:$G$433,Monthly_Data!$A$2:$A$433,$A29,Monthly_Data!$E$2:$E$433,"Revenue")</f>
        <v>20495112</v>
      </c>
      <c r="P29" s="8" t="n">
        <f aca="false">SUMIFS(Monthly_Data!$G$2:$G$433,Monthly_Data!$A$2:$A$433,$A29,Monthly_Data!$E$2:$E$433,"Revenue")-SUMIFS(Monthly_Data!$G$2:$G$433,Monthly_Data!$A$2:$A$433,$A29,Monthly_Data!$E$2:$E$433,"&lt;&gt;Revenue")</f>
        <v>2169258</v>
      </c>
      <c r="Q29" s="9" t="n">
        <f aca="false">IF(O29=0,0,(B29-O29)/O29)</f>
        <v>-0.0872094282773376</v>
      </c>
      <c r="R29" s="9" t="n">
        <f aca="false">IF(P29=0,0,(M29-P29)/ABS(P29))</f>
        <v>-0.523026306691044</v>
      </c>
    </row>
    <row r="30" customFormat="false" ht="15" hidden="false" customHeight="false" outlineLevel="0" collapsed="false">
      <c r="A30" s="6" t="n">
        <v>46054</v>
      </c>
      <c r="B30" s="8" t="n">
        <f aca="false">SUMIFS(Monthly_Data!$F$2:$F$433,Monthly_Data!$A$2:$A$433,$A30,Monthly_Data!$E$2:$E$433,"Revenue")</f>
        <v>19922558</v>
      </c>
      <c r="C30" s="8" t="n">
        <f aca="false">SUMIFS(Monthly_Data!$F$2:$F$433,Monthly_Data!$A$2:$A$433,$A30,Monthly_Data!$E$2:$E$433,"COGS")</f>
        <v>9798013</v>
      </c>
      <c r="D30" s="8" t="n">
        <f aca="false">B30-C30</f>
        <v>10124545</v>
      </c>
      <c r="E30" s="9" t="n">
        <f aca="false">IF(B30=0,0,D30/B30)</f>
        <v>0.508195031983343</v>
      </c>
      <c r="F30" s="8" t="n">
        <f aca="false">SUMIFS(Monthly_Data!$F$2:$F$433,Monthly_Data!$A$2:$A$433,$A30,Monthly_Data!$E$2:$E$433,"Operating Expenses")</f>
        <v>7458860</v>
      </c>
      <c r="G30" s="8" t="n">
        <f aca="false">D30-F30</f>
        <v>2665685</v>
      </c>
      <c r="H30" s="9" t="n">
        <f aca="false">IF(B30=0,0,G30/B30)</f>
        <v>0.133802346064195</v>
      </c>
      <c r="I30" s="8" t="n">
        <f aca="false">SUMIFS(Monthly_Data!$F$2:$F$433,Monthly_Data!$A$2:$A$433,$A30,Monthly_Data!$E$2:$E$433,"D&amp;A")</f>
        <v>431106</v>
      </c>
      <c r="J30" s="8" t="n">
        <f aca="false">G30-I30</f>
        <v>2234579</v>
      </c>
      <c r="K30" s="8" t="n">
        <f aca="false">SUMIFS(Monthly_Data!$F$2:$F$433,Monthly_Data!$A$2:$A$433,$A30,Monthly_Data!$E$2:$E$433,"Interest")</f>
        <v>266876</v>
      </c>
      <c r="L30" s="8" t="n">
        <f aca="false">SUMIFS(Monthly_Data!$F$2:$F$433,Monthly_Data!$A$2:$A$433,$A30,Monthly_Data!$E$2:$E$433,"Tax")</f>
        <v>491927</v>
      </c>
      <c r="M30" s="8" t="n">
        <f aca="false">J30-K30-L30</f>
        <v>1475776</v>
      </c>
      <c r="N30" s="9" t="n">
        <f aca="false">IF(B30=0,0,M30/B30)</f>
        <v>0.0740756282401085</v>
      </c>
      <c r="O30" s="8" t="n">
        <f aca="false">SUMIFS(Monthly_Data!$G$2:$G$433,Monthly_Data!$A$2:$A$433,$A30,Monthly_Data!$E$2:$E$433,"Revenue")</f>
        <v>21822218</v>
      </c>
      <c r="P30" s="8" t="n">
        <f aca="false">SUMIFS(Monthly_Data!$G$2:$G$433,Monthly_Data!$A$2:$A$433,$A30,Monthly_Data!$E$2:$E$433,"Revenue")-SUMIFS(Monthly_Data!$G$2:$G$433,Monthly_Data!$A$2:$A$433,$A30,Monthly_Data!$E$2:$E$433,"&lt;&gt;Revenue")</f>
        <v>2728554</v>
      </c>
      <c r="Q30" s="9" t="n">
        <f aca="false">IF(O30=0,0,(B30-O30)/O30)</f>
        <v>-0.0870516461708888</v>
      </c>
      <c r="R30" s="9" t="n">
        <f aca="false">IF(P30=0,0,(M30-P30)/ABS(P30))</f>
        <v>-0.459136231131948</v>
      </c>
    </row>
    <row r="31" customFormat="false" ht="15" hidden="false" customHeight="false" outlineLevel="0" collapsed="false">
      <c r="A31" s="6" t="n">
        <v>46082</v>
      </c>
      <c r="B31" s="8" t="n">
        <f aca="false">SUMIFS(Monthly_Data!$F$2:$F$433,Monthly_Data!$A$2:$A$433,$A31,Monthly_Data!$E$2:$E$433,"Revenue")</f>
        <v>21589735</v>
      </c>
      <c r="C31" s="8" t="n">
        <f aca="false">SUMIFS(Monthly_Data!$F$2:$F$433,Monthly_Data!$A$2:$A$433,$A31,Monthly_Data!$E$2:$E$433,"COGS")</f>
        <v>10472363</v>
      </c>
      <c r="D31" s="8" t="n">
        <f aca="false">B31-C31</f>
        <v>11117372</v>
      </c>
      <c r="E31" s="9" t="n">
        <f aca="false">IF(B31=0,0,D31/B31)</f>
        <v>0.514937862831573</v>
      </c>
      <c r="F31" s="8" t="n">
        <f aca="false">SUMIFS(Monthly_Data!$F$2:$F$433,Monthly_Data!$A$2:$A$433,$A31,Monthly_Data!$E$2:$E$433,"Operating Expenses")</f>
        <v>7519043</v>
      </c>
      <c r="G31" s="8" t="n">
        <f aca="false">D31-F31</f>
        <v>3598329</v>
      </c>
      <c r="H31" s="9" t="n">
        <f aca="false">IF(B31=0,0,G31/B31)</f>
        <v>0.166668511679277</v>
      </c>
      <c r="I31" s="8" t="n">
        <f aca="false">SUMIFS(Monthly_Data!$F$2:$F$433,Monthly_Data!$A$2:$A$433,$A31,Monthly_Data!$E$2:$E$433,"D&amp;A")</f>
        <v>432400</v>
      </c>
      <c r="J31" s="8" t="n">
        <f aca="false">G31-I31</f>
        <v>3165929</v>
      </c>
      <c r="K31" s="8" t="n">
        <f aca="false">SUMIFS(Monthly_Data!$F$2:$F$433,Monthly_Data!$A$2:$A$433,$A31,Monthly_Data!$E$2:$E$433,"Interest")</f>
        <v>267251</v>
      </c>
      <c r="L31" s="8" t="n">
        <f aca="false">SUMIFS(Monthly_Data!$F$2:$F$433,Monthly_Data!$A$2:$A$433,$A31,Monthly_Data!$E$2:$E$433,"Tax")</f>
        <v>724671</v>
      </c>
      <c r="M31" s="8" t="n">
        <f aca="false">J31-K31-L31</f>
        <v>2174007</v>
      </c>
      <c r="N31" s="9" t="n">
        <f aca="false">IF(B31=0,0,M31/B31)</f>
        <v>0.100696326286543</v>
      </c>
      <c r="O31" s="8" t="n">
        <f aca="false">SUMIFS(Monthly_Data!$G$2:$G$433,Monthly_Data!$A$2:$A$433,$A31,Monthly_Data!$E$2:$E$433,"Revenue")</f>
        <v>23563352</v>
      </c>
      <c r="P31" s="8" t="n">
        <f aca="false">SUMIFS(Monthly_Data!$G$2:$G$433,Monthly_Data!$A$2:$A$433,$A31,Monthly_Data!$E$2:$E$433,"Revenue")-SUMIFS(Monthly_Data!$G$2:$G$433,Monthly_Data!$A$2:$A$433,$A31,Monthly_Data!$E$2:$E$433,"&lt;&gt;Revenue")</f>
        <v>3477644</v>
      </c>
      <c r="Q31" s="9" t="n">
        <f aca="false">IF(O31=0,0,(B31-O31)/O31)</f>
        <v>-0.0837579050722495</v>
      </c>
      <c r="R31" s="9" t="n">
        <f aca="false">IF(P31=0,0,(M31-P31)/ABS(P31))</f>
        <v>-0.374862119296857</v>
      </c>
    </row>
    <row r="32" customFormat="false" ht="15" hidden="false" customHeight="false" outlineLevel="0" collapsed="false">
      <c r="A32" s="6" t="n">
        <v>46113</v>
      </c>
      <c r="B32" s="8" t="n">
        <f aca="false">SUMIFS(Monthly_Data!$F$2:$F$433,Monthly_Data!$A$2:$A$433,$A32,Monthly_Data!$E$2:$E$433,"Revenue")</f>
        <v>23208989</v>
      </c>
      <c r="C32" s="8" t="n">
        <f aca="false">SUMIFS(Monthly_Data!$F$2:$F$433,Monthly_Data!$A$2:$A$433,$A32,Monthly_Data!$E$2:$E$433,"COGS")</f>
        <v>11202323</v>
      </c>
      <c r="D32" s="8" t="n">
        <f aca="false">B32-C32</f>
        <v>12006666</v>
      </c>
      <c r="E32" s="9" t="n">
        <f aca="false">IF(B32=0,0,D32/B32)</f>
        <v>0.517328264492693</v>
      </c>
      <c r="F32" s="8" t="n">
        <f aca="false">SUMIFS(Monthly_Data!$F$2:$F$433,Monthly_Data!$A$2:$A$433,$A32,Monthly_Data!$E$2:$E$433,"Operating Expenses")</f>
        <v>7577655</v>
      </c>
      <c r="G32" s="8" t="n">
        <f aca="false">D32-F32</f>
        <v>4429011</v>
      </c>
      <c r="H32" s="9" t="n">
        <f aca="false">IF(B32=0,0,G32/B32)</f>
        <v>0.190831707490576</v>
      </c>
      <c r="I32" s="8" t="n">
        <f aca="false">SUMIFS(Monthly_Data!$F$2:$F$433,Monthly_Data!$A$2:$A$433,$A32,Monthly_Data!$E$2:$E$433,"D&amp;A")</f>
        <v>433696</v>
      </c>
      <c r="J32" s="8" t="n">
        <f aca="false">G32-I32</f>
        <v>3995315</v>
      </c>
      <c r="K32" s="8" t="n">
        <f aca="false">SUMIFS(Monthly_Data!$F$2:$F$433,Monthly_Data!$A$2:$A$433,$A32,Monthly_Data!$E$2:$E$433,"Interest")</f>
        <v>267626</v>
      </c>
      <c r="L32" s="8" t="n">
        <f aca="false">SUMIFS(Monthly_Data!$F$2:$F$433,Monthly_Data!$A$2:$A$433,$A32,Monthly_Data!$E$2:$E$433,"Tax")</f>
        <v>931923</v>
      </c>
      <c r="M32" s="8" t="n">
        <f aca="false">J32-K32-L32</f>
        <v>2795766</v>
      </c>
      <c r="N32" s="9" t="n">
        <f aca="false">IF(B32=0,0,M32/B32)</f>
        <v>0.120460481927929</v>
      </c>
      <c r="O32" s="8" t="n">
        <f aca="false">SUMIFS(Monthly_Data!$G$2:$G$433,Monthly_Data!$A$2:$A$433,$A32,Monthly_Data!$E$2:$E$433,"Revenue")</f>
        <v>25351811</v>
      </c>
      <c r="P32" s="8" t="n">
        <f aca="false">SUMIFS(Monthly_Data!$G$2:$G$433,Monthly_Data!$A$2:$A$433,$A32,Monthly_Data!$E$2:$E$433,"Revenue")-SUMIFS(Monthly_Data!$G$2:$G$433,Monthly_Data!$A$2:$A$433,$A32,Monthly_Data!$E$2:$E$433,"&lt;&gt;Revenue")</f>
        <v>4248064</v>
      </c>
      <c r="Q32" s="9" t="n">
        <f aca="false">IF(O32=0,0,(B32-O32)/O32)</f>
        <v>-0.0845234291151824</v>
      </c>
      <c r="R32" s="9" t="n">
        <f aca="false">IF(P32=0,0,(M32-P32)/ABS(P32))</f>
        <v>-0.341872909636013</v>
      </c>
    </row>
    <row r="33" customFormat="false" ht="15" hidden="false" customHeight="false" outlineLevel="0" collapsed="false">
      <c r="A33" s="6" t="n">
        <v>46143</v>
      </c>
      <c r="B33" s="8" t="n">
        <f aca="false">SUMIFS(Monthly_Data!$F$2:$F$433,Monthly_Data!$A$2:$A$433,$A33,Monthly_Data!$E$2:$E$433,"Revenue")</f>
        <v>24588588</v>
      </c>
      <c r="C33" s="8" t="n">
        <f aca="false">SUMIFS(Monthly_Data!$F$2:$F$433,Monthly_Data!$A$2:$A$433,$A33,Monthly_Data!$E$2:$E$433,"COGS")</f>
        <v>11675722</v>
      </c>
      <c r="D33" s="8" t="n">
        <f aca="false">B33-C33</f>
        <v>12912866</v>
      </c>
      <c r="E33" s="9" t="n">
        <f aca="false">IF(B33=0,0,D33/B33)</f>
        <v>0.525156873587048</v>
      </c>
      <c r="F33" s="8" t="n">
        <f aca="false">SUMIFS(Monthly_Data!$F$2:$F$433,Monthly_Data!$A$2:$A$433,$A33,Monthly_Data!$E$2:$E$433,"Operating Expenses")</f>
        <v>7639698</v>
      </c>
      <c r="G33" s="8" t="n">
        <f aca="false">D33-F33</f>
        <v>5273168</v>
      </c>
      <c r="H33" s="9" t="n">
        <f aca="false">IF(B33=0,0,G33/B33)</f>
        <v>0.214455909383654</v>
      </c>
      <c r="I33" s="8" t="n">
        <f aca="false">SUMIFS(Monthly_Data!$F$2:$F$433,Monthly_Data!$A$2:$A$433,$A33,Monthly_Data!$E$2:$E$433,"D&amp;A")</f>
        <v>434997</v>
      </c>
      <c r="J33" s="8" t="n">
        <f aca="false">G33-I33</f>
        <v>4838171</v>
      </c>
      <c r="K33" s="8" t="n">
        <f aca="false">SUMIFS(Monthly_Data!$F$2:$F$433,Monthly_Data!$A$2:$A$433,$A33,Monthly_Data!$E$2:$E$433,"Interest")</f>
        <v>268000</v>
      </c>
      <c r="L33" s="8" t="n">
        <f aca="false">SUMIFS(Monthly_Data!$F$2:$F$433,Monthly_Data!$A$2:$A$433,$A33,Monthly_Data!$E$2:$E$433,"Tax")</f>
        <v>1142544</v>
      </c>
      <c r="M33" s="8" t="n">
        <f aca="false">J33-K33-L33</f>
        <v>3427627</v>
      </c>
      <c r="N33" s="9" t="n">
        <f aca="false">IF(B33=0,0,M33/B33)</f>
        <v>0.13939909847609</v>
      </c>
      <c r="O33" s="8" t="n">
        <f aca="false">SUMIFS(Monthly_Data!$G$2:$G$433,Monthly_Data!$A$2:$A$433,$A33,Monthly_Data!$E$2:$E$433,"Revenue")</f>
        <v>26798347</v>
      </c>
      <c r="P33" s="8" t="n">
        <f aca="false">SUMIFS(Monthly_Data!$G$2:$G$433,Monthly_Data!$A$2:$A$433,$A33,Monthly_Data!$E$2:$E$433,"Revenue")-SUMIFS(Monthly_Data!$G$2:$G$433,Monthly_Data!$A$2:$A$433,$A33,Monthly_Data!$E$2:$E$433,"&lt;&gt;Revenue")</f>
        <v>4861005</v>
      </c>
      <c r="Q33" s="9" t="n">
        <f aca="false">IF(O33=0,0,(B33-O33)/O33)</f>
        <v>-0.0824587800135583</v>
      </c>
      <c r="R33" s="9" t="n">
        <f aca="false">IF(P33=0,0,(M33-P33)/ABS(P33))</f>
        <v>-0.294872768079852</v>
      </c>
    </row>
    <row r="34" customFormat="false" ht="15" hidden="false" customHeight="false" outlineLevel="0" collapsed="false">
      <c r="A34" s="6" t="n">
        <v>46174</v>
      </c>
      <c r="B34" s="8" t="n">
        <f aca="false">SUMIFS(Monthly_Data!$F$2:$F$433,Monthly_Data!$A$2:$A$433,$A34,Monthly_Data!$E$2:$E$433,"Revenue")</f>
        <v>24847544</v>
      </c>
      <c r="C34" s="8" t="n">
        <f aca="false">SUMIFS(Monthly_Data!$F$2:$F$433,Monthly_Data!$A$2:$A$433,$A34,Monthly_Data!$E$2:$E$433,"COGS")</f>
        <v>11785363</v>
      </c>
      <c r="D34" s="8" t="n">
        <f aca="false">B34-C34</f>
        <v>13062181</v>
      </c>
      <c r="E34" s="9" t="n">
        <f aca="false">IF(B34=0,0,D34/B34)</f>
        <v>0.52569304233851</v>
      </c>
      <c r="F34" s="8" t="n">
        <f aca="false">SUMIFS(Monthly_Data!$F$2:$F$433,Monthly_Data!$A$2:$A$433,$A34,Monthly_Data!$E$2:$E$433,"Operating Expenses")</f>
        <v>7696975</v>
      </c>
      <c r="G34" s="8" t="n">
        <f aca="false">D34-F34</f>
        <v>5365206</v>
      </c>
      <c r="H34" s="9" t="n">
        <f aca="false">IF(B34=0,0,G34/B34)</f>
        <v>0.215925002487167</v>
      </c>
      <c r="I34" s="8" t="n">
        <f aca="false">SUMIFS(Monthly_Data!$F$2:$F$433,Monthly_Data!$A$2:$A$433,$A34,Monthly_Data!$E$2:$E$433,"D&amp;A")</f>
        <v>436302</v>
      </c>
      <c r="J34" s="8" t="n">
        <f aca="false">G34-I34</f>
        <v>4928904</v>
      </c>
      <c r="K34" s="8" t="n">
        <f aca="false">SUMIFS(Monthly_Data!$F$2:$F$433,Monthly_Data!$A$2:$A$433,$A34,Monthly_Data!$E$2:$E$433,"Interest")</f>
        <v>268376</v>
      </c>
      <c r="L34" s="8" t="n">
        <f aca="false">SUMIFS(Monthly_Data!$F$2:$F$433,Monthly_Data!$A$2:$A$433,$A34,Monthly_Data!$E$2:$E$433,"Tax")</f>
        <v>1165132</v>
      </c>
      <c r="M34" s="8" t="n">
        <f aca="false">J34-K34-L34</f>
        <v>3495396</v>
      </c>
      <c r="N34" s="9" t="n">
        <f aca="false">IF(B34=0,0,M34/B34)</f>
        <v>0.140673701996463</v>
      </c>
      <c r="O34" s="8" t="n">
        <f aca="false">SUMIFS(Monthly_Data!$G$2:$G$433,Monthly_Data!$A$2:$A$433,$A34,Monthly_Data!$E$2:$E$433,"Revenue")</f>
        <v>27596451</v>
      </c>
      <c r="P34" s="8" t="n">
        <f aca="false">SUMIFS(Monthly_Data!$G$2:$G$433,Monthly_Data!$A$2:$A$433,$A34,Monthly_Data!$E$2:$E$433,"Revenue")-SUMIFS(Monthly_Data!$G$2:$G$433,Monthly_Data!$A$2:$A$433,$A34,Monthly_Data!$E$2:$E$433,"&lt;&gt;Revenue")</f>
        <v>5175656</v>
      </c>
      <c r="Q34" s="9" t="n">
        <f aca="false">IF(O34=0,0,(B34-O34)/O34)</f>
        <v>-0.099610888371117</v>
      </c>
      <c r="R34" s="9" t="n">
        <f aca="false">IF(P34=0,0,(M34-P34)/ABS(P34))</f>
        <v>-0.324646769414351</v>
      </c>
    </row>
    <row r="35" customFormat="false" ht="15" hidden="false" customHeight="false" outlineLevel="0" collapsed="false">
      <c r="A35" s="6" t="n">
        <v>46204</v>
      </c>
      <c r="B35" s="8" t="n">
        <f aca="false">SUMIFS(Monthly_Data!$F$2:$F$433,Monthly_Data!$A$2:$A$433,$A35,Monthly_Data!$E$2:$E$433,"Revenue")</f>
        <v>24947876</v>
      </c>
      <c r="C35" s="8" t="n">
        <f aca="false">SUMIFS(Monthly_Data!$F$2:$F$433,Monthly_Data!$A$2:$A$433,$A35,Monthly_Data!$E$2:$E$433,"COGS")</f>
        <v>11890087</v>
      </c>
      <c r="D35" s="8" t="n">
        <f aca="false">B35-C35</f>
        <v>13057789</v>
      </c>
      <c r="E35" s="9" t="n">
        <f aca="false">IF(B35=0,0,D35/B35)</f>
        <v>0.52340283397272</v>
      </c>
      <c r="F35" s="8" t="n">
        <f aca="false">SUMIFS(Monthly_Data!$F$2:$F$433,Monthly_Data!$A$2:$A$433,$A35,Monthly_Data!$E$2:$E$433,"Operating Expenses")</f>
        <v>7764271</v>
      </c>
      <c r="G35" s="8" t="n">
        <f aca="false">D35-F35</f>
        <v>5293518</v>
      </c>
      <c r="H35" s="9" t="n">
        <f aca="false">IF(B35=0,0,G35/B35)</f>
        <v>0.212183113303914</v>
      </c>
      <c r="I35" s="8" t="n">
        <f aca="false">SUMIFS(Monthly_Data!$F$2:$F$433,Monthly_Data!$A$2:$A$433,$A35,Monthly_Data!$E$2:$E$433,"D&amp;A")</f>
        <v>437611</v>
      </c>
      <c r="J35" s="8" t="n">
        <f aca="false">G35-I35</f>
        <v>4855907</v>
      </c>
      <c r="K35" s="8" t="n">
        <f aca="false">SUMIFS(Monthly_Data!$F$2:$F$433,Monthly_Data!$A$2:$A$433,$A35,Monthly_Data!$E$2:$E$433,"Interest")</f>
        <v>268751</v>
      </c>
      <c r="L35" s="8" t="n">
        <f aca="false">SUMIFS(Monthly_Data!$F$2:$F$433,Monthly_Data!$A$2:$A$433,$A35,Monthly_Data!$E$2:$E$433,"Tax")</f>
        <v>1146790</v>
      </c>
      <c r="M35" s="8" t="n">
        <f aca="false">J35-K35-L35</f>
        <v>3440366</v>
      </c>
      <c r="N35" s="9" t="n">
        <f aca="false">IF(B35=0,0,M35/B35)</f>
        <v>0.137902160488532</v>
      </c>
      <c r="O35" s="8" t="n">
        <f aca="false">SUMIFS(Monthly_Data!$G$2:$G$433,Monthly_Data!$A$2:$A$433,$A35,Monthly_Data!$E$2:$E$433,"Revenue")</f>
        <v>27608324</v>
      </c>
      <c r="P35" s="8" t="n">
        <f aca="false">SUMIFS(Monthly_Data!$G$2:$G$433,Monthly_Data!$A$2:$A$433,$A35,Monthly_Data!$E$2:$E$433,"Revenue")-SUMIFS(Monthly_Data!$G$2:$G$433,Monthly_Data!$A$2:$A$433,$A35,Monthly_Data!$E$2:$E$433,"&lt;&gt;Revenue")</f>
        <v>5128714</v>
      </c>
      <c r="Q35" s="9" t="n">
        <f aca="false">IF(O35=0,0,(B35-O35)/O35)</f>
        <v>-0.0963639806603255</v>
      </c>
      <c r="R35" s="9" t="n">
        <f aca="false">IF(P35=0,0,(M35-P35)/ABS(P35))</f>
        <v>-0.329195193960903</v>
      </c>
    </row>
    <row r="36" customFormat="false" ht="15" hidden="false" customHeight="false" outlineLevel="0" collapsed="false">
      <c r="A36" s="6" t="n">
        <v>46235</v>
      </c>
      <c r="B36" s="8" t="n">
        <f aca="false">SUMIFS(Monthly_Data!$F$2:$F$433,Monthly_Data!$A$2:$A$433,$A36,Monthly_Data!$E$2:$E$433,"Revenue")</f>
        <v>24231200</v>
      </c>
      <c r="C36" s="8" t="n">
        <f aca="false">SUMIFS(Monthly_Data!$F$2:$F$433,Monthly_Data!$A$2:$A$433,$A36,Monthly_Data!$E$2:$E$433,"COGS")</f>
        <v>11687366</v>
      </c>
      <c r="D36" s="8" t="n">
        <f aca="false">B36-C36</f>
        <v>12543834</v>
      </c>
      <c r="E36" s="9" t="n">
        <f aca="false">IF(B36=0,0,D36/B36)</f>
        <v>0.517672835022616</v>
      </c>
      <c r="F36" s="8" t="n">
        <f aca="false">SUMIFS(Monthly_Data!$F$2:$F$433,Monthly_Data!$A$2:$A$433,$A36,Monthly_Data!$E$2:$E$433,"Operating Expenses")</f>
        <v>7827233</v>
      </c>
      <c r="G36" s="8" t="n">
        <f aca="false">D36-F36</f>
        <v>4716601</v>
      </c>
      <c r="H36" s="9" t="n">
        <f aca="false">IF(B36=0,0,G36/B36)</f>
        <v>0.194649914160256</v>
      </c>
      <c r="I36" s="8" t="n">
        <f aca="false">SUMIFS(Monthly_Data!$F$2:$F$433,Monthly_Data!$A$2:$A$433,$A36,Monthly_Data!$E$2:$E$433,"D&amp;A")</f>
        <v>438924</v>
      </c>
      <c r="J36" s="8" t="n">
        <f aca="false">G36-I36</f>
        <v>4277677</v>
      </c>
      <c r="K36" s="8" t="n">
        <f aca="false">SUMIFS(Monthly_Data!$F$2:$F$433,Monthly_Data!$A$2:$A$433,$A36,Monthly_Data!$E$2:$E$433,"Interest")</f>
        <v>269126</v>
      </c>
      <c r="L36" s="8" t="n">
        <f aca="false">SUMIFS(Monthly_Data!$F$2:$F$433,Monthly_Data!$A$2:$A$433,$A36,Monthly_Data!$E$2:$E$433,"Tax")</f>
        <v>1002138</v>
      </c>
      <c r="M36" s="8" t="n">
        <f aca="false">J36-K36-L36</f>
        <v>3006413</v>
      </c>
      <c r="N36" s="9" t="n">
        <f aca="false">IF(B36=0,0,M36/B36)</f>
        <v>0.12407198157747</v>
      </c>
      <c r="O36" s="8" t="n">
        <f aca="false">SUMIFS(Monthly_Data!$G$2:$G$433,Monthly_Data!$A$2:$A$433,$A36,Monthly_Data!$E$2:$E$433,"Revenue")</f>
        <v>26907489</v>
      </c>
      <c r="P36" s="8" t="n">
        <f aca="false">SUMIFS(Monthly_Data!$G$2:$G$433,Monthly_Data!$A$2:$A$433,$A36,Monthly_Data!$E$2:$E$433,"Revenue")-SUMIFS(Monthly_Data!$G$2:$G$433,Monthly_Data!$A$2:$A$433,$A36,Monthly_Data!$E$2:$E$433,"&lt;&gt;Revenue")</f>
        <v>4753954</v>
      </c>
      <c r="Q36" s="9" t="n">
        <f aca="false">IF(O36=0,0,(B36-O36)/O36)</f>
        <v>-0.0994626068601199</v>
      </c>
      <c r="R36" s="9" t="n">
        <f aca="false">IF(P36=0,0,(M36-P36)/ABS(P36))</f>
        <v>-0.367597372629184</v>
      </c>
    </row>
    <row r="37" customFormat="false" ht="15" hidden="false" customHeight="false" outlineLevel="0" collapsed="false">
      <c r="A37" s="6" t="n">
        <v>46266</v>
      </c>
      <c r="B37" s="8" t="n">
        <f aca="false">SUMIFS(Monthly_Data!$F$2:$F$433,Monthly_Data!$A$2:$A$433,$A37,Monthly_Data!$E$2:$E$433,"Revenue")</f>
        <v>23344825</v>
      </c>
      <c r="C37" s="8" t="n">
        <f aca="false">SUMIFS(Monthly_Data!$F$2:$F$433,Monthly_Data!$A$2:$A$433,$A37,Monthly_Data!$E$2:$E$433,"COGS")</f>
        <v>11358990</v>
      </c>
      <c r="D37" s="8" t="n">
        <f aca="false">B37-C37</f>
        <v>11985835</v>
      </c>
      <c r="E37" s="9" t="n">
        <f aca="false">IF(B37=0,0,D37/B37)</f>
        <v>0.513425780660168</v>
      </c>
      <c r="F37" s="8" t="n">
        <f aca="false">SUMIFS(Monthly_Data!$F$2:$F$433,Monthly_Data!$A$2:$A$433,$A37,Monthly_Data!$E$2:$E$433,"Operating Expenses")</f>
        <v>7888596</v>
      </c>
      <c r="G37" s="8" t="n">
        <f aca="false">D37-F37</f>
        <v>4097239</v>
      </c>
      <c r="H37" s="9" t="n">
        <f aca="false">IF(B37=0,0,G37/B37)</f>
        <v>0.175509518704895</v>
      </c>
      <c r="I37" s="8" t="n">
        <f aca="false">SUMIFS(Monthly_Data!$F$2:$F$433,Monthly_Data!$A$2:$A$433,$A37,Monthly_Data!$E$2:$E$433,"D&amp;A")</f>
        <v>440240</v>
      </c>
      <c r="J37" s="8" t="n">
        <f aca="false">G37-I37</f>
        <v>3656999</v>
      </c>
      <c r="K37" s="8" t="n">
        <f aca="false">SUMIFS(Monthly_Data!$F$2:$F$433,Monthly_Data!$A$2:$A$433,$A37,Monthly_Data!$E$2:$E$433,"Interest")</f>
        <v>269500</v>
      </c>
      <c r="L37" s="8" t="n">
        <f aca="false">SUMIFS(Monthly_Data!$F$2:$F$433,Monthly_Data!$A$2:$A$433,$A37,Monthly_Data!$E$2:$E$433,"Tax")</f>
        <v>846875</v>
      </c>
      <c r="M37" s="8" t="n">
        <f aca="false">J37-K37-L37</f>
        <v>2540624</v>
      </c>
      <c r="N37" s="9" t="n">
        <f aca="false">IF(B37=0,0,M37/B37)</f>
        <v>0.108830286798038</v>
      </c>
      <c r="O37" s="8" t="n">
        <f aca="false">SUMIFS(Monthly_Data!$G$2:$G$433,Monthly_Data!$A$2:$A$433,$A37,Monthly_Data!$E$2:$E$433,"Revenue")</f>
        <v>25765190</v>
      </c>
      <c r="P37" s="8" t="n">
        <f aca="false">SUMIFS(Monthly_Data!$G$2:$G$433,Monthly_Data!$A$2:$A$433,$A37,Monthly_Data!$E$2:$E$433,"Revenue")-SUMIFS(Monthly_Data!$G$2:$G$433,Monthly_Data!$A$2:$A$433,$A37,Monthly_Data!$E$2:$E$433,"&lt;&gt;Revenue")</f>
        <v>4175971</v>
      </c>
      <c r="Q37" s="9" t="n">
        <f aca="false">IF(O37=0,0,(B37-O37)/O37)</f>
        <v>-0.0939393421899858</v>
      </c>
      <c r="R37" s="9" t="n">
        <f aca="false">IF(P37=0,0,(M37-P37)/ABS(P37))</f>
        <v>-0.391608801881048</v>
      </c>
    </row>
    <row r="38" customFormat="false" ht="15" hidden="false" customHeight="false" outlineLevel="0" collapsed="false">
      <c r="A38" s="10" t="s">
        <v>68</v>
      </c>
      <c r="B38" s="11" t="n">
        <f aca="false">SUM(B5:B37)</f>
        <v>642706347</v>
      </c>
      <c r="C38" s="11" t="n">
        <f aca="false">SUM(C5:C37)</f>
        <v>312637633</v>
      </c>
      <c r="D38" s="11" t="n">
        <f aca="false">SUM(D5:D37)</f>
        <v>330068714</v>
      </c>
      <c r="E38" s="12" t="n">
        <f aca="false">IF(B38=0,0,D38/B38)</f>
        <v>0.513560688393202</v>
      </c>
      <c r="F38" s="11" t="n">
        <f aca="false">SUM(F5:F37)</f>
        <v>229944110</v>
      </c>
      <c r="G38" s="11" t="n">
        <f aca="false">SUM(G5:G37)</f>
        <v>100124604</v>
      </c>
      <c r="H38" s="12" t="n">
        <f aca="false">IF(B38=0,0,G38/B38)</f>
        <v>0.15578592691259</v>
      </c>
      <c r="I38" s="11" t="n">
        <f aca="false">SUM(I5:I37)</f>
        <v>13853694</v>
      </c>
      <c r="J38" s="11" t="n">
        <f aca="false">SUM(J5:J37)</f>
        <v>86270910</v>
      </c>
      <c r="K38" s="11" t="n">
        <f aca="false">SUM(K5:K37)</f>
        <v>8695524</v>
      </c>
      <c r="L38" s="11" t="n">
        <f aca="false">SUM(L5:L37)</f>
        <v>19400229</v>
      </c>
      <c r="M38" s="11" t="n">
        <f aca="false">SUM(M5:M37)</f>
        <v>58175157</v>
      </c>
      <c r="N38" s="12" t="n">
        <f aca="false">IF(B38=0,0,M38/B38)</f>
        <v>0.0905159211069686</v>
      </c>
      <c r="O38" s="11" t="n">
        <f aca="false">SUM(O5:O37)</f>
        <v>683593290</v>
      </c>
      <c r="P38" s="11" t="n">
        <f aca="false">SUM(P5:P37)</f>
        <v>87183100</v>
      </c>
      <c r="Q38" s="12" t="n">
        <f aca="false">IF(O38=0,0,(B38-O38)/O38)</f>
        <v>-0.0598117968653554</v>
      </c>
      <c r="R38" s="12" t="n">
        <f aca="false">IF(P38=0,0,(M38-P38)/ABS(P38))</f>
        <v>-0.332724381216084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5" t="s">
        <v>71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</row>
    <row r="5" customFormat="false" ht="15" hidden="false" customHeight="false" outlineLevel="0" collapsed="false">
      <c r="A5" s="4" t="s">
        <v>72</v>
      </c>
      <c r="B5" s="4" t="s">
        <v>41</v>
      </c>
      <c r="C5" s="7" t="n">
        <v>43361204</v>
      </c>
      <c r="D5" s="7" t="n">
        <v>48479388</v>
      </c>
      <c r="E5" s="8" t="n">
        <f aca="false">IF(B5="Revenue",C5-D5,D5-C5)</f>
        <v>5118184</v>
      </c>
      <c r="F5" s="9" t="n">
        <f aca="false">IF(D5=0,0,E5/D5)</f>
        <v>0.105574435056812</v>
      </c>
    </row>
    <row r="6" customFormat="false" ht="15" hidden="false" customHeight="false" outlineLevel="0" collapsed="false">
      <c r="A6" s="4" t="s">
        <v>72</v>
      </c>
      <c r="B6" s="4" t="s">
        <v>50</v>
      </c>
      <c r="C6" s="7" t="n">
        <v>2078055</v>
      </c>
      <c r="D6" s="7" t="n">
        <v>2078055</v>
      </c>
      <c r="E6" s="8" t="n">
        <f aca="false">IF(B6="Revenue",C6-D6,D6-C6)</f>
        <v>0</v>
      </c>
      <c r="F6" s="9" t="n">
        <f aca="false">IF(D6=0,0,E6/D6)</f>
        <v>0</v>
      </c>
    </row>
    <row r="7" customFormat="false" ht="15" hidden="false" customHeight="false" outlineLevel="0" collapsed="false">
      <c r="A7" s="4" t="s">
        <v>72</v>
      </c>
      <c r="B7" s="4" t="s">
        <v>52</v>
      </c>
      <c r="C7" s="7" t="n">
        <v>1304329</v>
      </c>
      <c r="D7" s="7" t="n">
        <v>1237500</v>
      </c>
      <c r="E7" s="8" t="n">
        <f aca="false">IF(B7="Revenue",C7-D7,D7-C7)</f>
        <v>-66829</v>
      </c>
      <c r="F7" s="9" t="n">
        <f aca="false">IF(D7=0,0,E7/D7)</f>
        <v>-0.0540032323232323</v>
      </c>
    </row>
    <row r="8" customFormat="false" ht="15" hidden="false" customHeight="false" outlineLevel="0" collapsed="false">
      <c r="A8" s="4" t="s">
        <v>72</v>
      </c>
      <c r="B8" s="4" t="s">
        <v>44</v>
      </c>
      <c r="C8" s="7" t="n">
        <v>34491035</v>
      </c>
      <c r="D8" s="7" t="n">
        <v>33307426</v>
      </c>
      <c r="E8" s="8" t="n">
        <f aca="false">IF(B8="Revenue",C8-D8,D8-C8)</f>
        <v>-1183609</v>
      </c>
      <c r="F8" s="9" t="n">
        <f aca="false">IF(D8=0,0,E8/D8)</f>
        <v>-0.035535889203807</v>
      </c>
    </row>
    <row r="9" customFormat="false" ht="15" hidden="false" customHeight="false" outlineLevel="0" collapsed="false">
      <c r="A9" s="4" t="s">
        <v>72</v>
      </c>
      <c r="B9" s="4" t="s">
        <v>38</v>
      </c>
      <c r="C9" s="7" t="n">
        <v>90392718</v>
      </c>
      <c r="D9" s="7" t="n">
        <v>102538996</v>
      </c>
      <c r="E9" s="8" t="n">
        <f aca="false">IF(B9="Revenue",C9-D9,D9-C9)</f>
        <v>-12146278</v>
      </c>
      <c r="F9" s="9" t="n">
        <f aca="false">IF(D9=0,0,E9/D9)</f>
        <v>-0.118455207031674</v>
      </c>
    </row>
    <row r="10" customFormat="false" ht="15" hidden="false" customHeight="false" outlineLevel="0" collapsed="false">
      <c r="A10" s="4" t="s">
        <v>72</v>
      </c>
      <c r="B10" s="4" t="s">
        <v>54</v>
      </c>
      <c r="C10" s="7" t="n">
        <v>2295898</v>
      </c>
      <c r="D10" s="7" t="n">
        <v>4359164</v>
      </c>
      <c r="E10" s="8" t="n">
        <f aca="false">IF(B10="Revenue",C10-D10,D10-C10)</f>
        <v>2063266</v>
      </c>
      <c r="F10" s="9" t="n">
        <f aca="false">IF(D10=0,0,E10/D10)</f>
        <v>0.473316902048191</v>
      </c>
    </row>
    <row r="11" customFormat="false" ht="15" hidden="false" customHeight="false" outlineLevel="0" collapsed="false">
      <c r="A11" s="4" t="s">
        <v>73</v>
      </c>
      <c r="B11" s="4" t="s">
        <v>41</v>
      </c>
      <c r="C11" s="7" t="n">
        <v>92793774</v>
      </c>
      <c r="D11" s="7" t="n">
        <v>96958772</v>
      </c>
      <c r="E11" s="8" t="n">
        <f aca="false">IF(B11="Revenue",C11-D11,D11-C11)</f>
        <v>4164998</v>
      </c>
      <c r="F11" s="9" t="n">
        <f aca="false">IF(D11=0,0,E11/D11)</f>
        <v>0.0429563815020265</v>
      </c>
    </row>
    <row r="12" customFormat="false" ht="15" hidden="false" customHeight="false" outlineLevel="0" collapsed="false">
      <c r="A12" s="4" t="s">
        <v>73</v>
      </c>
      <c r="B12" s="4" t="s">
        <v>50</v>
      </c>
      <c r="C12" s="7" t="n">
        <v>4156107</v>
      </c>
      <c r="D12" s="7" t="n">
        <v>4156107</v>
      </c>
      <c r="E12" s="8" t="n">
        <f aca="false">IF(B12="Revenue",C12-D12,D12-C12)</f>
        <v>0</v>
      </c>
      <c r="F12" s="9" t="n">
        <f aca="false">IF(D12=0,0,E12/D12)</f>
        <v>0</v>
      </c>
    </row>
    <row r="13" customFormat="false" ht="15" hidden="false" customHeight="false" outlineLevel="0" collapsed="false">
      <c r="A13" s="4" t="s">
        <v>73</v>
      </c>
      <c r="B13" s="4" t="s">
        <v>52</v>
      </c>
      <c r="C13" s="7" t="n">
        <v>2608658</v>
      </c>
      <c r="D13" s="7" t="n">
        <v>2475000</v>
      </c>
      <c r="E13" s="8" t="n">
        <f aca="false">IF(B13="Revenue",C13-D13,D13-C13)</f>
        <v>-133658</v>
      </c>
      <c r="F13" s="9" t="n">
        <f aca="false">IF(D13=0,0,E13/D13)</f>
        <v>-0.0540032323232323</v>
      </c>
    </row>
    <row r="14" customFormat="false" ht="15" hidden="false" customHeight="false" outlineLevel="0" collapsed="false">
      <c r="A14" s="4" t="s">
        <v>73</v>
      </c>
      <c r="B14" s="4" t="s">
        <v>44</v>
      </c>
      <c r="C14" s="7" t="n">
        <v>68984496</v>
      </c>
      <c r="D14" s="7" t="n">
        <v>66614861</v>
      </c>
      <c r="E14" s="8" t="n">
        <f aca="false">IF(B14="Revenue",C14-D14,D14-C14)</f>
        <v>-2369635</v>
      </c>
      <c r="F14" s="9" t="n">
        <f aca="false">IF(D14=0,0,E14/D14)</f>
        <v>-0.0355721675978578</v>
      </c>
    </row>
    <row r="15" customFormat="false" ht="15" hidden="false" customHeight="false" outlineLevel="0" collapsed="false">
      <c r="A15" s="4" t="s">
        <v>73</v>
      </c>
      <c r="B15" s="4" t="s">
        <v>38</v>
      </c>
      <c r="C15" s="7" t="n">
        <v>191150649</v>
      </c>
      <c r="D15" s="7" t="n">
        <v>205077984</v>
      </c>
      <c r="E15" s="8" t="n">
        <f aca="false">IF(B15="Revenue",C15-D15,D15-C15)</f>
        <v>-13927335</v>
      </c>
      <c r="F15" s="9" t="n">
        <f aca="false">IF(D15=0,0,E15/D15)</f>
        <v>-0.0679123849783895</v>
      </c>
    </row>
    <row r="16" customFormat="false" ht="15" hidden="false" customHeight="false" outlineLevel="0" collapsed="false">
      <c r="A16" s="4" t="s">
        <v>73</v>
      </c>
      <c r="B16" s="4" t="s">
        <v>54</v>
      </c>
      <c r="C16" s="7" t="n">
        <v>5651908</v>
      </c>
      <c r="D16" s="7" t="n">
        <v>8718315</v>
      </c>
      <c r="E16" s="8" t="n">
        <f aca="false">IF(B16="Revenue",C16-D16,D16-C16)</f>
        <v>3066407</v>
      </c>
      <c r="F16" s="9" t="n">
        <f aca="false">IF(D16=0,0,E16/D16)</f>
        <v>0.351720143169867</v>
      </c>
    </row>
    <row r="17" customFormat="false" ht="15" hidden="false" customHeight="false" outlineLevel="0" collapsed="false">
      <c r="A17" s="4" t="s">
        <v>74</v>
      </c>
      <c r="B17" s="4" t="s">
        <v>41</v>
      </c>
      <c r="C17" s="7" t="n">
        <v>96963273</v>
      </c>
      <c r="D17" s="7" t="n">
        <v>96958772</v>
      </c>
      <c r="E17" s="8" t="n">
        <f aca="false">IF(B17="Revenue",C17-D17,D17-C17)</f>
        <v>-4501</v>
      </c>
      <c r="F17" s="9" t="n">
        <f aca="false">IF(D17=0,0,E17/D17)</f>
        <v>-4.64217925532308E-005</v>
      </c>
    </row>
    <row r="18" customFormat="false" ht="15" hidden="false" customHeight="false" outlineLevel="0" collapsed="false">
      <c r="A18" s="4" t="s">
        <v>74</v>
      </c>
      <c r="B18" s="4" t="s">
        <v>50</v>
      </c>
      <c r="C18" s="7" t="n">
        <v>4156107</v>
      </c>
      <c r="D18" s="7" t="n">
        <v>4156107</v>
      </c>
      <c r="E18" s="8" t="n">
        <f aca="false">IF(B18="Revenue",C18-D18,D18-C18)</f>
        <v>0</v>
      </c>
      <c r="F18" s="9" t="n">
        <f aca="false">IF(D18=0,0,E18/D18)</f>
        <v>0</v>
      </c>
    </row>
    <row r="19" customFormat="false" ht="15" hidden="false" customHeight="false" outlineLevel="0" collapsed="false">
      <c r="A19" s="4" t="s">
        <v>74</v>
      </c>
      <c r="B19" s="4" t="s">
        <v>52</v>
      </c>
      <c r="C19" s="7" t="n">
        <v>2608658</v>
      </c>
      <c r="D19" s="7" t="n">
        <v>2475000</v>
      </c>
      <c r="E19" s="8" t="n">
        <f aca="false">IF(B19="Revenue",C19-D19,D19-C19)</f>
        <v>-133658</v>
      </c>
      <c r="F19" s="9" t="n">
        <f aca="false">IF(D19=0,0,E19/D19)</f>
        <v>-0.0540032323232323</v>
      </c>
    </row>
    <row r="20" customFormat="false" ht="15" hidden="false" customHeight="false" outlineLevel="0" collapsed="false">
      <c r="A20" s="4" t="s">
        <v>74</v>
      </c>
      <c r="B20" s="4" t="s">
        <v>44</v>
      </c>
      <c r="C20" s="7" t="n">
        <v>68977643</v>
      </c>
      <c r="D20" s="7" t="n">
        <v>66614861</v>
      </c>
      <c r="E20" s="8" t="n">
        <f aca="false">IF(B20="Revenue",C20-D20,D20-C20)</f>
        <v>-2362782</v>
      </c>
      <c r="F20" s="9" t="n">
        <f aca="false">IF(D20=0,0,E20/D20)</f>
        <v>-0.035469292655283</v>
      </c>
    </row>
    <row r="21" customFormat="false" ht="15" hidden="false" customHeight="false" outlineLevel="0" collapsed="false">
      <c r="A21" s="4" t="s">
        <v>74</v>
      </c>
      <c r="B21" s="4" t="s">
        <v>38</v>
      </c>
      <c r="C21" s="7" t="n">
        <v>198259907</v>
      </c>
      <c r="D21" s="7" t="n">
        <v>205077984</v>
      </c>
      <c r="E21" s="8" t="n">
        <f aca="false">IF(B21="Revenue",C21-D21,D21-C21)</f>
        <v>-6818077</v>
      </c>
      <c r="F21" s="9" t="n">
        <f aca="false">IF(D21=0,0,E21/D21)</f>
        <v>-0.0332462649915654</v>
      </c>
    </row>
    <row r="22" customFormat="false" ht="15" hidden="false" customHeight="false" outlineLevel="0" collapsed="false">
      <c r="A22" s="4" t="s">
        <v>74</v>
      </c>
      <c r="B22" s="4" t="s">
        <v>54</v>
      </c>
      <c r="C22" s="7" t="n">
        <v>6388558</v>
      </c>
      <c r="D22" s="7" t="n">
        <v>8718315</v>
      </c>
      <c r="E22" s="8" t="n">
        <f aca="false">IF(B22="Revenue",C22-D22,D22-C22)</f>
        <v>2329757</v>
      </c>
      <c r="F22" s="9" t="n">
        <f aca="false">IF(D22=0,0,E22/D22)</f>
        <v>0.267225604947745</v>
      </c>
    </row>
    <row r="23" customFormat="false" ht="15" hidden="false" customHeight="false" outlineLevel="0" collapsed="false">
      <c r="A23" s="4" t="s">
        <v>75</v>
      </c>
      <c r="B23" s="4" t="s">
        <v>41</v>
      </c>
      <c r="C23" s="7" t="n">
        <v>79519382</v>
      </c>
      <c r="D23" s="7" t="n">
        <v>80798976</v>
      </c>
      <c r="E23" s="8" t="n">
        <f aca="false">IF(B23="Revenue",C23-D23,D23-C23)</f>
        <v>1279594</v>
      </c>
      <c r="F23" s="9" t="n">
        <f aca="false">IF(D23=0,0,E23/D23)</f>
        <v>0.0158367601094351</v>
      </c>
    </row>
    <row r="24" customFormat="false" ht="15" hidden="false" customHeight="false" outlineLevel="0" collapsed="false">
      <c r="A24" s="4" t="s">
        <v>75</v>
      </c>
      <c r="B24" s="4" t="s">
        <v>50</v>
      </c>
      <c r="C24" s="7" t="n">
        <v>3463425</v>
      </c>
      <c r="D24" s="7" t="n">
        <v>3463425</v>
      </c>
      <c r="E24" s="8" t="n">
        <f aca="false">IF(B24="Revenue",C24-D24,D24-C24)</f>
        <v>0</v>
      </c>
      <c r="F24" s="9" t="n">
        <f aca="false">IF(D24=0,0,E24/D24)</f>
        <v>0</v>
      </c>
    </row>
    <row r="25" customFormat="false" ht="15" hidden="false" customHeight="false" outlineLevel="0" collapsed="false">
      <c r="A25" s="4" t="s">
        <v>75</v>
      </c>
      <c r="B25" s="4" t="s">
        <v>52</v>
      </c>
      <c r="C25" s="7" t="n">
        <v>2173879</v>
      </c>
      <c r="D25" s="7" t="n">
        <v>2062500</v>
      </c>
      <c r="E25" s="8" t="n">
        <f aca="false">IF(B25="Revenue",C25-D25,D25-C25)</f>
        <v>-111379</v>
      </c>
      <c r="F25" s="9" t="n">
        <f aca="false">IF(D25=0,0,E25/D25)</f>
        <v>-0.0540019393939394</v>
      </c>
    </row>
    <row r="26" customFormat="false" ht="15" hidden="false" customHeight="false" outlineLevel="0" collapsed="false">
      <c r="A26" s="4" t="s">
        <v>75</v>
      </c>
      <c r="B26" s="4" t="s">
        <v>44</v>
      </c>
      <c r="C26" s="7" t="n">
        <v>57490936</v>
      </c>
      <c r="D26" s="7" t="n">
        <v>55512381</v>
      </c>
      <c r="E26" s="8" t="n">
        <f aca="false">IF(B26="Revenue",C26-D26,D26-C26)</f>
        <v>-1978555</v>
      </c>
      <c r="F26" s="9" t="n">
        <f aca="false">IF(D26=0,0,E26/D26)</f>
        <v>-0.0356416886532033</v>
      </c>
    </row>
    <row r="27" customFormat="false" ht="15" hidden="false" customHeight="false" outlineLevel="0" collapsed="false">
      <c r="A27" s="4" t="s">
        <v>75</v>
      </c>
      <c r="B27" s="4" t="s">
        <v>38</v>
      </c>
      <c r="C27" s="7" t="n">
        <v>162903073</v>
      </c>
      <c r="D27" s="7" t="n">
        <v>170898326</v>
      </c>
      <c r="E27" s="8" t="n">
        <f aca="false">IF(B27="Revenue",C27-D27,D27-C27)</f>
        <v>-7995253</v>
      </c>
      <c r="F27" s="9" t="n">
        <f aca="false">IF(D27=0,0,E27/D27)</f>
        <v>-0.0467836823632784</v>
      </c>
    </row>
    <row r="28" customFormat="false" ht="15" hidden="false" customHeight="false" outlineLevel="0" collapsed="false">
      <c r="A28" s="4" t="s">
        <v>75</v>
      </c>
      <c r="B28" s="4" t="s">
        <v>54</v>
      </c>
      <c r="C28" s="7" t="n">
        <v>5063865</v>
      </c>
      <c r="D28" s="7" t="n">
        <v>7265265</v>
      </c>
      <c r="E28" s="8" t="n">
        <f aca="false">IF(B28="Revenue",C28-D28,D28-C28)</f>
        <v>2201400</v>
      </c>
      <c r="F28" s="9" t="n">
        <f aca="false">IF(D28=0,0,E28/D28)</f>
        <v>0.30300340042655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30" hidden="false" customHeight="true" outlineLevel="0" collapsed="false">
      <c r="A4" s="5" t="s">
        <v>28</v>
      </c>
      <c r="B4" s="5" t="s">
        <v>78</v>
      </c>
      <c r="C4" s="5" t="s">
        <v>79</v>
      </c>
      <c r="D4" s="5" t="s">
        <v>10</v>
      </c>
      <c r="E4" s="5" t="s">
        <v>80</v>
      </c>
      <c r="F4" s="5" t="s">
        <v>81</v>
      </c>
    </row>
    <row r="5" customFormat="false" ht="15" hidden="false" customHeight="false" outlineLevel="0" collapsed="false">
      <c r="A5" s="6" t="n">
        <v>46296</v>
      </c>
      <c r="B5" s="4" t="s">
        <v>62</v>
      </c>
      <c r="C5" s="4" t="s">
        <v>82</v>
      </c>
      <c r="D5" s="7" t="n">
        <v>2148529</v>
      </c>
      <c r="E5" s="7" t="n">
        <v>1950936</v>
      </c>
      <c r="F5" s="7" t="n">
        <v>2346121</v>
      </c>
    </row>
    <row r="6" customFormat="false" ht="15" hidden="false" customHeight="false" outlineLevel="0" collapsed="false">
      <c r="A6" s="6" t="n">
        <v>46327</v>
      </c>
      <c r="B6" s="4" t="s">
        <v>62</v>
      </c>
      <c r="C6" s="4" t="s">
        <v>82</v>
      </c>
      <c r="D6" s="7" t="n">
        <v>1761757</v>
      </c>
      <c r="E6" s="7" t="n">
        <v>1599734</v>
      </c>
      <c r="F6" s="7" t="n">
        <v>1923780</v>
      </c>
    </row>
    <row r="7" customFormat="false" ht="15" hidden="false" customHeight="false" outlineLevel="0" collapsed="false">
      <c r="A7" s="6" t="n">
        <v>46357</v>
      </c>
      <c r="B7" s="4" t="s">
        <v>62</v>
      </c>
      <c r="C7" s="4" t="s">
        <v>82</v>
      </c>
      <c r="D7" s="7" t="n">
        <v>1689752</v>
      </c>
      <c r="E7" s="7" t="n">
        <v>1534351</v>
      </c>
      <c r="F7" s="7" t="n">
        <v>1845152</v>
      </c>
    </row>
    <row r="8" customFormat="false" ht="15" hidden="false" customHeight="false" outlineLevel="0" collapsed="false">
      <c r="A8" s="6" t="n">
        <v>46296</v>
      </c>
      <c r="B8" s="4" t="s">
        <v>38</v>
      </c>
      <c r="C8" s="4" t="s">
        <v>83</v>
      </c>
      <c r="D8" s="7" t="n">
        <v>22360585</v>
      </c>
      <c r="E8" s="7" t="n">
        <v>22129332</v>
      </c>
      <c r="F8" s="7" t="n">
        <v>22591838</v>
      </c>
    </row>
    <row r="9" customFormat="false" ht="15" hidden="false" customHeight="false" outlineLevel="0" collapsed="false">
      <c r="A9" s="6" t="n">
        <v>46327</v>
      </c>
      <c r="B9" s="4" t="s">
        <v>38</v>
      </c>
      <c r="C9" s="4" t="s">
        <v>83</v>
      </c>
      <c r="D9" s="7" t="n">
        <v>21354061</v>
      </c>
      <c r="E9" s="7" t="n">
        <v>21133218</v>
      </c>
      <c r="F9" s="7" t="n">
        <v>21574905</v>
      </c>
    </row>
    <row r="10" customFormat="false" ht="15" hidden="false" customHeight="false" outlineLevel="0" collapsed="false">
      <c r="A10" s="6" t="n">
        <v>46357</v>
      </c>
      <c r="B10" s="4" t="s">
        <v>38</v>
      </c>
      <c r="C10" s="4" t="s">
        <v>83</v>
      </c>
      <c r="D10" s="7" t="n">
        <v>21209130</v>
      </c>
      <c r="E10" s="7" t="n">
        <v>20989786</v>
      </c>
      <c r="F10" s="7" t="n">
        <v>21428475</v>
      </c>
    </row>
    <row r="12" customFormat="false" ht="15" hidden="false" customHeight="false" outlineLevel="0" collapsed="false">
      <c r="A12" s="3" t="s">
        <v>84</v>
      </c>
    </row>
    <row r="13" customFormat="false" ht="15" hidden="false" customHeight="false" outlineLevel="0" collapsed="false">
      <c r="B13" s="4" t="s">
        <v>38</v>
      </c>
      <c r="D13" s="8" t="n">
        <f aca="false">SUMIFS(D5:D10,B5:B10,"Revenue")</f>
        <v>64923776</v>
      </c>
    </row>
    <row r="14" customFormat="false" ht="15" hidden="false" customHeight="false" outlineLevel="0" collapsed="false">
      <c r="B14" s="4" t="s">
        <v>62</v>
      </c>
      <c r="D14" s="8" t="n">
        <f aca="false">SUMIFS(D5:D10,B5:B10,"Net Profit")</f>
        <v>5600038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5" t="s">
        <v>78</v>
      </c>
      <c r="B4" s="5" t="s">
        <v>79</v>
      </c>
      <c r="C4" s="5" t="s">
        <v>87</v>
      </c>
      <c r="D4" s="5" t="s">
        <v>88</v>
      </c>
      <c r="E4" s="5" t="s">
        <v>89</v>
      </c>
    </row>
    <row r="5" customFormat="false" ht="15" hidden="false" customHeight="false" outlineLevel="0" collapsed="false">
      <c r="A5" s="4" t="s">
        <v>62</v>
      </c>
      <c r="B5" s="4" t="s">
        <v>82</v>
      </c>
      <c r="C5" s="13" t="n">
        <v>6.4</v>
      </c>
      <c r="D5" s="4" t="n">
        <v>1</v>
      </c>
      <c r="E5" s="4" t="s">
        <v>90</v>
      </c>
    </row>
    <row r="6" customFormat="false" ht="15" hidden="false" customHeight="false" outlineLevel="0" collapsed="false">
      <c r="A6" s="4" t="s">
        <v>62</v>
      </c>
      <c r="B6" s="4" t="s">
        <v>91</v>
      </c>
      <c r="C6" s="13" t="n">
        <v>7.67</v>
      </c>
      <c r="D6" s="4" t="n">
        <v>2</v>
      </c>
      <c r="E6" s="4"/>
    </row>
    <row r="7" customFormat="false" ht="15" hidden="false" customHeight="false" outlineLevel="0" collapsed="false">
      <c r="A7" s="4" t="s">
        <v>62</v>
      </c>
      <c r="B7" s="4" t="s">
        <v>83</v>
      </c>
      <c r="C7" s="13" t="n">
        <v>9.83</v>
      </c>
      <c r="D7" s="4" t="n">
        <v>3</v>
      </c>
      <c r="E7" s="4"/>
    </row>
    <row r="8" customFormat="false" ht="15" hidden="false" customHeight="false" outlineLevel="0" collapsed="false">
      <c r="A8" s="4" t="s">
        <v>62</v>
      </c>
      <c r="B8" s="4" t="s">
        <v>92</v>
      </c>
      <c r="C8" s="13" t="n">
        <v>12.86</v>
      </c>
      <c r="D8" s="4" t="n">
        <v>4</v>
      </c>
      <c r="E8" s="4"/>
    </row>
    <row r="9" customFormat="false" ht="15" hidden="false" customHeight="false" outlineLevel="0" collapsed="false">
      <c r="A9" s="4" t="s">
        <v>62</v>
      </c>
      <c r="B9" s="4" t="s">
        <v>93</v>
      </c>
      <c r="C9" s="13" t="n">
        <v>22.73</v>
      </c>
      <c r="D9" s="4" t="n">
        <v>5</v>
      </c>
      <c r="E9" s="4"/>
    </row>
    <row r="10" customFormat="false" ht="15" hidden="false" customHeight="false" outlineLevel="0" collapsed="false">
      <c r="A10" s="4" t="s">
        <v>38</v>
      </c>
      <c r="B10" s="4" t="s">
        <v>83</v>
      </c>
      <c r="C10" s="13" t="n">
        <v>0.72</v>
      </c>
      <c r="D10" s="4" t="n">
        <v>1</v>
      </c>
      <c r="E10" s="4" t="s">
        <v>90</v>
      </c>
    </row>
    <row r="11" customFormat="false" ht="15" hidden="false" customHeight="false" outlineLevel="0" collapsed="false">
      <c r="A11" s="4" t="s">
        <v>38</v>
      </c>
      <c r="B11" s="4" t="s">
        <v>92</v>
      </c>
      <c r="C11" s="13" t="n">
        <v>1.41</v>
      </c>
      <c r="D11" s="4" t="n">
        <v>2</v>
      </c>
      <c r="E11" s="4"/>
    </row>
    <row r="12" customFormat="false" ht="15" hidden="false" customHeight="false" outlineLevel="0" collapsed="false">
      <c r="A12" s="4" t="s">
        <v>38</v>
      </c>
      <c r="B12" s="4" t="s">
        <v>82</v>
      </c>
      <c r="C12" s="13" t="n">
        <v>2.1</v>
      </c>
      <c r="D12" s="4" t="n">
        <v>3</v>
      </c>
      <c r="E12" s="4"/>
    </row>
    <row r="13" customFormat="false" ht="15" hidden="false" customHeight="false" outlineLevel="0" collapsed="false">
      <c r="A13" s="4" t="s">
        <v>38</v>
      </c>
      <c r="B13" s="4" t="s">
        <v>91</v>
      </c>
      <c r="C13" s="13" t="n">
        <v>2.38</v>
      </c>
      <c r="D13" s="4" t="n">
        <v>4</v>
      </c>
      <c r="E13" s="4"/>
    </row>
    <row r="14" customFormat="false" ht="15" hidden="false" customHeight="false" outlineLevel="0" collapsed="false">
      <c r="A14" s="4" t="s">
        <v>38</v>
      </c>
      <c r="B14" s="4" t="s">
        <v>93</v>
      </c>
      <c r="C14" s="13" t="n">
        <v>7.73</v>
      </c>
      <c r="D14" s="4" t="n">
        <v>5</v>
      </c>
      <c r="E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0" hidden="false" customHeight="true" outlineLevel="0" collapsed="false">
      <c r="A4" s="5" t="s">
        <v>96</v>
      </c>
    </row>
    <row r="5" customFormat="false" ht="15" hidden="false" customHeight="false" outlineLevel="0" collapsed="false">
      <c r="A5" s="14" t="n">
        <v>-0.1</v>
      </c>
    </row>
    <row r="6" customFormat="false" ht="15" hidden="false" customHeight="false" outlineLevel="0" collapsed="false">
      <c r="A6" s="14" t="n">
        <v>-0.09</v>
      </c>
    </row>
    <row r="7" customFormat="false" ht="15" hidden="false" customHeight="false" outlineLevel="0" collapsed="false">
      <c r="A7" s="14" t="n">
        <v>-0.08</v>
      </c>
    </row>
    <row r="8" customFormat="false" ht="15" hidden="false" customHeight="false" outlineLevel="0" collapsed="false">
      <c r="A8" s="14" t="n">
        <v>-0.07</v>
      </c>
    </row>
    <row r="9" customFormat="false" ht="15" hidden="false" customHeight="false" outlineLevel="0" collapsed="false">
      <c r="A9" s="14" t="n">
        <v>-0.06</v>
      </c>
    </row>
    <row r="10" customFormat="false" ht="15" hidden="false" customHeight="false" outlineLevel="0" collapsed="false">
      <c r="A10" s="14" t="n">
        <v>-0.05</v>
      </c>
    </row>
    <row r="11" customFormat="false" ht="15" hidden="false" customHeight="false" outlineLevel="0" collapsed="false">
      <c r="A11" s="14" t="n">
        <v>-0.04</v>
      </c>
    </row>
    <row r="12" customFormat="false" ht="15" hidden="false" customHeight="false" outlineLevel="0" collapsed="false">
      <c r="A12" s="14" t="n">
        <v>-0.03</v>
      </c>
    </row>
    <row r="13" customFormat="false" ht="15" hidden="false" customHeight="false" outlineLevel="0" collapsed="false">
      <c r="A13" s="14" t="n">
        <v>-0.02</v>
      </c>
    </row>
    <row r="14" customFormat="false" ht="15" hidden="false" customHeight="false" outlineLevel="0" collapsed="false">
      <c r="A14" s="14" t="n">
        <v>-0.01</v>
      </c>
    </row>
    <row r="15" customFormat="false" ht="15" hidden="false" customHeight="false" outlineLevel="0" collapsed="false">
      <c r="A15" s="14" t="n">
        <v>0</v>
      </c>
    </row>
    <row r="16" customFormat="false" ht="15" hidden="false" customHeight="false" outlineLevel="0" collapsed="false">
      <c r="A16" s="14" t="n">
        <v>0.01</v>
      </c>
    </row>
    <row r="17" customFormat="false" ht="15" hidden="false" customHeight="false" outlineLevel="0" collapsed="false">
      <c r="A17" s="14" t="n">
        <v>0.02</v>
      </c>
    </row>
    <row r="18" customFormat="false" ht="15" hidden="false" customHeight="false" outlineLevel="0" collapsed="false">
      <c r="A18" s="14" t="n">
        <v>0.03</v>
      </c>
    </row>
    <row r="19" customFormat="false" ht="15" hidden="false" customHeight="false" outlineLevel="0" collapsed="false">
      <c r="A19" s="14" t="n">
        <v>0.04</v>
      </c>
    </row>
    <row r="20" customFormat="false" ht="15" hidden="false" customHeight="false" outlineLevel="0" collapsed="false">
      <c r="A20" s="14" t="n">
        <v>0.05</v>
      </c>
    </row>
    <row r="21" customFormat="false" ht="15" hidden="false" customHeight="false" outlineLevel="0" collapsed="false">
      <c r="A21" s="14" t="n">
        <v>0.06</v>
      </c>
    </row>
    <row r="22" customFormat="false" ht="15" hidden="false" customHeight="false" outlineLevel="0" collapsed="false">
      <c r="A22" s="14" t="n">
        <v>0.07</v>
      </c>
    </row>
    <row r="23" customFormat="false" ht="15" hidden="false" customHeight="false" outlineLevel="0" collapsed="false">
      <c r="A23" s="14" t="n">
        <v>0.08</v>
      </c>
    </row>
    <row r="24" customFormat="false" ht="15" hidden="false" customHeight="false" outlineLevel="0" collapsed="false">
      <c r="A24" s="14" t="n">
        <v>0.09</v>
      </c>
    </row>
    <row r="25" customFormat="false" ht="15" hidden="false" customHeight="false" outlineLevel="0" collapsed="false">
      <c r="A25" s="1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0" hidden="false" customHeight="true" outlineLevel="0" collapsed="false">
      <c r="A4" s="5" t="s">
        <v>99</v>
      </c>
      <c r="B4" s="5" t="s">
        <v>100</v>
      </c>
      <c r="C4" s="5" t="s">
        <v>32</v>
      </c>
    </row>
    <row r="5" customFormat="false" ht="15" hidden="false" customHeight="false" outlineLevel="0" collapsed="false">
      <c r="A5" s="4" t="n">
        <v>1</v>
      </c>
      <c r="B5" s="4" t="s">
        <v>37</v>
      </c>
      <c r="C5" s="4" t="s">
        <v>38</v>
      </c>
    </row>
    <row r="6" customFormat="false" ht="15" hidden="false" customHeight="false" outlineLevel="0" collapsed="false">
      <c r="A6" s="4" t="n">
        <v>2</v>
      </c>
      <c r="B6" s="4" t="s">
        <v>39</v>
      </c>
      <c r="C6" s="4" t="s">
        <v>38</v>
      </c>
    </row>
    <row r="7" customFormat="false" ht="15" hidden="false" customHeight="false" outlineLevel="0" collapsed="false">
      <c r="A7" s="4" t="n">
        <v>3</v>
      </c>
      <c r="B7" s="4" t="s">
        <v>40</v>
      </c>
      <c r="C7" s="4" t="s">
        <v>41</v>
      </c>
    </row>
    <row r="8" customFormat="false" ht="15" hidden="false" customHeight="false" outlineLevel="0" collapsed="false">
      <c r="A8" s="4" t="n">
        <v>4</v>
      </c>
      <c r="B8" s="4" t="s">
        <v>42</v>
      </c>
      <c r="C8" s="4" t="s">
        <v>41</v>
      </c>
    </row>
    <row r="9" customFormat="false" ht="15" hidden="false" customHeight="false" outlineLevel="0" collapsed="false">
      <c r="A9" s="4" t="n">
        <v>5</v>
      </c>
      <c r="B9" s="4" t="s">
        <v>43</v>
      </c>
      <c r="C9" s="4" t="s">
        <v>44</v>
      </c>
    </row>
    <row r="10" customFormat="false" ht="15" hidden="false" customHeight="false" outlineLevel="0" collapsed="false">
      <c r="A10" s="4" t="n">
        <v>6</v>
      </c>
      <c r="B10" s="4" t="s">
        <v>45</v>
      </c>
      <c r="C10" s="4" t="s">
        <v>44</v>
      </c>
    </row>
    <row r="11" customFormat="false" ht="15" hidden="false" customHeight="false" outlineLevel="0" collapsed="false">
      <c r="A11" s="4" t="n">
        <v>7</v>
      </c>
      <c r="B11" s="4" t="s">
        <v>46</v>
      </c>
      <c r="C11" s="4" t="s">
        <v>44</v>
      </c>
    </row>
    <row r="12" customFormat="false" ht="15" hidden="false" customHeight="false" outlineLevel="0" collapsed="false">
      <c r="A12" s="4" t="n">
        <v>8</v>
      </c>
      <c r="B12" s="4" t="s">
        <v>47</v>
      </c>
      <c r="C12" s="4" t="s">
        <v>44</v>
      </c>
    </row>
    <row r="13" customFormat="false" ht="15" hidden="false" customHeight="false" outlineLevel="0" collapsed="false">
      <c r="A13" s="4" t="n">
        <v>9</v>
      </c>
      <c r="B13" s="4" t="s">
        <v>48</v>
      </c>
      <c r="C13" s="4" t="s">
        <v>44</v>
      </c>
    </row>
    <row r="14" customFormat="false" ht="15" hidden="false" customHeight="false" outlineLevel="0" collapsed="false">
      <c r="A14" s="4" t="n">
        <v>10</v>
      </c>
      <c r="B14" s="4" t="s">
        <v>49</v>
      </c>
      <c r="C14" s="4" t="s">
        <v>50</v>
      </c>
    </row>
    <row r="15" customFormat="false" ht="15" hidden="false" customHeight="false" outlineLevel="0" collapsed="false">
      <c r="A15" s="4" t="n">
        <v>11</v>
      </c>
      <c r="B15" s="4" t="s">
        <v>51</v>
      </c>
      <c r="C15" s="4" t="s">
        <v>52</v>
      </c>
    </row>
    <row r="16" customFormat="false" ht="15" hidden="false" customHeight="false" outlineLevel="0" collapsed="false">
      <c r="A16" s="4" t="n">
        <v>12</v>
      </c>
      <c r="B16" s="4" t="s">
        <v>53</v>
      </c>
      <c r="C16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2026-10-07T06:12:12Z</dcterms:created>
  <dc:creator>openpyxl</dc:creator>
  <dc:description/>
  <dc:language>en-US</dc:language>
  <cp:lastModifiedBy/>
  <dcterms:modified xsi:type="dcterms:W3CDTF">2026-10-07T06:12:12Z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